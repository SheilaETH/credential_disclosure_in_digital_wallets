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ingg\Documents\PhD\EID\Paper\Charts &amp; Tables\"/>
    </mc:Choice>
  </mc:AlternateContent>
  <xr:revisionPtr revIDLastSave="0" documentId="8_{4DB8047B-C1EA-4CB6-B5EF-E4AF3A56A677}" xr6:coauthVersionLast="47" xr6:coauthVersionMax="47" xr10:uidLastSave="{00000000-0000-0000-0000-000000000000}"/>
  <bookViews>
    <workbookView xWindow="-110" yWindow="-110" windowWidth="19420" windowHeight="11500" xr2:uid="{C938027D-8B6F-4DDF-B1CA-B35070587C52}"/>
  </bookViews>
  <sheets>
    <sheet name="expert_combined_never_credent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34" i="1" l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V3" i="1"/>
  <c r="AN3" i="1" s="1"/>
  <c r="W3" i="1"/>
  <c r="X3" i="1"/>
  <c r="Y3" i="1"/>
  <c r="Z3" i="1"/>
  <c r="AA3" i="1"/>
  <c r="AB3" i="1"/>
  <c r="AC3" i="1"/>
  <c r="AD3" i="1"/>
  <c r="AE3" i="1"/>
  <c r="AF3" i="1"/>
  <c r="AG3" i="1"/>
  <c r="AY3" i="1" s="1"/>
  <c r="AH3" i="1"/>
  <c r="AZ3" i="1" s="1"/>
  <c r="AI3" i="1"/>
  <c r="BA3" i="1" s="1"/>
  <c r="V4" i="1"/>
  <c r="AN4" i="1" s="1"/>
  <c r="W4" i="1"/>
  <c r="AO4" i="1" s="1"/>
  <c r="X4" i="1"/>
  <c r="AP4" i="1" s="1"/>
  <c r="Y4" i="1"/>
  <c r="AQ4" i="1" s="1"/>
  <c r="Z4" i="1"/>
  <c r="AR4" i="1" s="1"/>
  <c r="AA4" i="1"/>
  <c r="AS4" i="1" s="1"/>
  <c r="AB4" i="1"/>
  <c r="AT4" i="1" s="1"/>
  <c r="AC4" i="1"/>
  <c r="AU4" i="1" s="1"/>
  <c r="AD4" i="1"/>
  <c r="AV4" i="1" s="1"/>
  <c r="AE4" i="1"/>
  <c r="AW4" i="1" s="1"/>
  <c r="AF4" i="1"/>
  <c r="AX4" i="1" s="1"/>
  <c r="AG4" i="1"/>
  <c r="AY4" i="1" s="1"/>
  <c r="AH4" i="1"/>
  <c r="AZ4" i="1" s="1"/>
  <c r="AI4" i="1"/>
  <c r="BA4" i="1" s="1"/>
  <c r="V5" i="1"/>
  <c r="AN5" i="1" s="1"/>
  <c r="W5" i="1"/>
  <c r="AO5" i="1" s="1"/>
  <c r="X5" i="1"/>
  <c r="AP5" i="1" s="1"/>
  <c r="Y5" i="1"/>
  <c r="AQ5" i="1" s="1"/>
  <c r="Z5" i="1"/>
  <c r="AR5" i="1" s="1"/>
  <c r="AA5" i="1"/>
  <c r="AS5" i="1" s="1"/>
  <c r="AB5" i="1"/>
  <c r="AT5" i="1" s="1"/>
  <c r="AC5" i="1"/>
  <c r="AU5" i="1" s="1"/>
  <c r="AD5" i="1"/>
  <c r="AV5" i="1" s="1"/>
  <c r="AE5" i="1"/>
  <c r="AW5" i="1" s="1"/>
  <c r="AF5" i="1"/>
  <c r="AX5" i="1" s="1"/>
  <c r="AG5" i="1"/>
  <c r="AY5" i="1" s="1"/>
  <c r="AH5" i="1"/>
  <c r="AZ5" i="1" s="1"/>
  <c r="AI5" i="1"/>
  <c r="BA5" i="1" s="1"/>
  <c r="V6" i="1"/>
  <c r="AN6" i="1" s="1"/>
  <c r="W6" i="1"/>
  <c r="AO6" i="1" s="1"/>
  <c r="X6" i="1"/>
  <c r="AP6" i="1" s="1"/>
  <c r="Y6" i="1"/>
  <c r="AQ6" i="1" s="1"/>
  <c r="Z6" i="1"/>
  <c r="AR6" i="1" s="1"/>
  <c r="AA6" i="1"/>
  <c r="AS6" i="1" s="1"/>
  <c r="AB6" i="1"/>
  <c r="AT6" i="1" s="1"/>
  <c r="AC6" i="1"/>
  <c r="AD6" i="1"/>
  <c r="AE6" i="1"/>
  <c r="AF6" i="1"/>
  <c r="AG6" i="1"/>
  <c r="AH6" i="1"/>
  <c r="AI6" i="1"/>
  <c r="V7" i="1"/>
  <c r="W7" i="1"/>
  <c r="X7" i="1"/>
  <c r="Y7" i="1"/>
  <c r="Z7" i="1"/>
  <c r="AR7" i="1" s="1"/>
  <c r="AA7" i="1"/>
  <c r="AS7" i="1" s="1"/>
  <c r="AB7" i="1"/>
  <c r="AT7" i="1" s="1"/>
  <c r="AC7" i="1"/>
  <c r="AU7" i="1" s="1"/>
  <c r="AD7" i="1"/>
  <c r="AV7" i="1" s="1"/>
  <c r="AE7" i="1"/>
  <c r="AW7" i="1" s="1"/>
  <c r="AF7" i="1"/>
  <c r="AX7" i="1" s="1"/>
  <c r="AG7" i="1"/>
  <c r="AY7" i="1" s="1"/>
  <c r="AH7" i="1"/>
  <c r="AZ7" i="1" s="1"/>
  <c r="AI7" i="1"/>
  <c r="BA7" i="1" s="1"/>
  <c r="V8" i="1"/>
  <c r="AN8" i="1" s="1"/>
  <c r="W8" i="1"/>
  <c r="AO8" i="1" s="1"/>
  <c r="X8" i="1"/>
  <c r="AP8" i="1" s="1"/>
  <c r="Y8" i="1"/>
  <c r="AQ8" i="1" s="1"/>
  <c r="Z8" i="1"/>
  <c r="AR8" i="1" s="1"/>
  <c r="AA8" i="1"/>
  <c r="AS8" i="1" s="1"/>
  <c r="AB8" i="1"/>
  <c r="AT8" i="1" s="1"/>
  <c r="AC8" i="1"/>
  <c r="AU8" i="1" s="1"/>
  <c r="AD8" i="1"/>
  <c r="AV8" i="1" s="1"/>
  <c r="AE8" i="1"/>
  <c r="AW8" i="1" s="1"/>
  <c r="AF8" i="1"/>
  <c r="AX8" i="1" s="1"/>
  <c r="AG8" i="1"/>
  <c r="AY8" i="1" s="1"/>
  <c r="AH8" i="1"/>
  <c r="AZ8" i="1" s="1"/>
  <c r="AI8" i="1"/>
  <c r="BA8" i="1" s="1"/>
  <c r="V9" i="1"/>
  <c r="AN9" i="1" s="1"/>
  <c r="W9" i="1"/>
  <c r="AO9" i="1" s="1"/>
  <c r="X9" i="1"/>
  <c r="AP9" i="1" s="1"/>
  <c r="Y9" i="1"/>
  <c r="AQ9" i="1" s="1"/>
  <c r="Z9" i="1"/>
  <c r="AR9" i="1" s="1"/>
  <c r="AA9" i="1"/>
  <c r="AS9" i="1" s="1"/>
  <c r="AB9" i="1"/>
  <c r="AT9" i="1" s="1"/>
  <c r="AC9" i="1"/>
  <c r="AU9" i="1" s="1"/>
  <c r="AD9" i="1"/>
  <c r="AE9" i="1"/>
  <c r="AF9" i="1"/>
  <c r="AG9" i="1"/>
  <c r="AH9" i="1"/>
  <c r="AI9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V16" i="1"/>
  <c r="W16" i="1"/>
  <c r="X16" i="1"/>
  <c r="Y16" i="1"/>
  <c r="Z16" i="1"/>
  <c r="AR16" i="1" s="1"/>
  <c r="AA16" i="1"/>
  <c r="AB16" i="1"/>
  <c r="AC16" i="1"/>
  <c r="AD16" i="1"/>
  <c r="AE16" i="1"/>
  <c r="AF16" i="1"/>
  <c r="AG16" i="1"/>
  <c r="AH16" i="1"/>
  <c r="AI16" i="1"/>
  <c r="U4" i="1"/>
  <c r="AM4" i="1" s="1"/>
  <c r="U5" i="1"/>
  <c r="AM5" i="1" s="1"/>
  <c r="U6" i="1"/>
  <c r="AM6" i="1" s="1"/>
  <c r="U7" i="1"/>
  <c r="AM7" i="1" s="1"/>
  <c r="U8" i="1"/>
  <c r="AM8" i="1" s="1"/>
  <c r="U9" i="1"/>
  <c r="AM9" i="1" s="1"/>
  <c r="U10" i="1"/>
  <c r="AM10" i="1" s="1"/>
  <c r="U11" i="1"/>
  <c r="AM11" i="1" s="1"/>
  <c r="U12" i="1"/>
  <c r="AM12" i="1" s="1"/>
  <c r="U13" i="1"/>
  <c r="AM13" i="1" s="1"/>
  <c r="U14" i="1"/>
  <c r="AM14" i="1" s="1"/>
  <c r="U15" i="1"/>
  <c r="AM15" i="1" s="1"/>
  <c r="U16" i="1"/>
  <c r="AM16" i="1" s="1"/>
  <c r="U3" i="1"/>
  <c r="AM3" i="1" s="1"/>
  <c r="AO3" i="1"/>
  <c r="AP3" i="1"/>
  <c r="AQ3" i="1"/>
  <c r="AR3" i="1"/>
  <c r="AS3" i="1"/>
  <c r="AT3" i="1"/>
  <c r="AU3" i="1"/>
  <c r="AV3" i="1"/>
  <c r="AW3" i="1"/>
  <c r="AX3" i="1"/>
  <c r="AU6" i="1"/>
  <c r="AV6" i="1"/>
  <c r="AW6" i="1"/>
  <c r="AX6" i="1"/>
  <c r="AY6" i="1"/>
  <c r="AZ6" i="1"/>
  <c r="BA6" i="1"/>
  <c r="AN7" i="1"/>
  <c r="AO7" i="1"/>
  <c r="AP7" i="1"/>
  <c r="AQ7" i="1"/>
  <c r="AV9" i="1"/>
  <c r="AW9" i="1"/>
  <c r="AX9" i="1"/>
  <c r="AY9" i="1"/>
  <c r="AZ9" i="1"/>
  <c r="BA9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AN16" i="1"/>
  <c r="AO16" i="1"/>
  <c r="AP16" i="1"/>
  <c r="AQ16" i="1"/>
  <c r="AS16" i="1"/>
  <c r="AT16" i="1"/>
  <c r="AU16" i="1"/>
  <c r="AV16" i="1"/>
  <c r="AW16" i="1"/>
  <c r="AX16" i="1"/>
  <c r="AY16" i="1"/>
  <c r="AZ16" i="1"/>
  <c r="BA16" i="1"/>
</calcChain>
</file>

<file path=xl/sharedStrings.xml><?xml version="1.0" encoding="utf-8"?>
<sst xmlns="http://schemas.openxmlformats.org/spreadsheetml/2006/main" count="239" uniqueCount="36">
  <si>
    <t>Pharmacy</t>
  </si>
  <si>
    <t>Online Doctors</t>
  </si>
  <si>
    <t>Government</t>
  </si>
  <si>
    <t>Job Portal</t>
  </si>
  <si>
    <t>University</t>
  </si>
  <si>
    <t>Air Travel</t>
  </si>
  <si>
    <t>Car Rental</t>
  </si>
  <si>
    <t>Bank</t>
  </si>
  <si>
    <t>Real Estate</t>
  </si>
  <si>
    <t>Gaming</t>
  </si>
  <si>
    <t>E-commerce</t>
  </si>
  <si>
    <t>Social Media</t>
  </si>
  <si>
    <t>News</t>
  </si>
  <si>
    <t>Payment Services</t>
  </si>
  <si>
    <t>Diploma</t>
  </si>
  <si>
    <t>Prescriptions</t>
  </si>
  <si>
    <t>Visa</t>
  </si>
  <si>
    <t>Never</t>
  </si>
  <si>
    <t>Permissible</t>
  </si>
  <si>
    <t>Score</t>
  </si>
  <si>
    <t>Int. Ground Travel</t>
  </si>
  <si>
    <t>Official ID</t>
  </si>
  <si>
    <t>Driver'S License</t>
  </si>
  <si>
    <t>Birth Certificate</t>
  </si>
  <si>
    <t>Marriage Certificate</t>
  </si>
  <si>
    <t>Bank Acc. Validation</t>
  </si>
  <si>
    <t>University Transcript</t>
  </si>
  <si>
    <t>Employment History</t>
  </si>
  <si>
    <t>Professional Licenses</t>
  </si>
  <si>
    <t>Health Insurance</t>
  </si>
  <si>
    <t>Medical Records</t>
  </si>
  <si>
    <t>Disability Status</t>
  </si>
  <si>
    <t>Scenarios</t>
  </si>
  <si>
    <t>Manual Evaluation</t>
  </si>
  <si>
    <t>Diff - S = Same score between Expert and manual evaluation, U means higher expert score, O means higher manual score</t>
  </si>
  <si>
    <t>Law necessary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</si>
</sst>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6100"/>
      <name val="Aptos Narrow"/>
      <scheme val="minor"/>
    </font>
    <font>
      <b/>
      <sz val="11"/>
      <color rgb="FF9C0006"/>
      <name val="Aptos Narrow"/>
      <scheme val="minor"/>
    </font>
    <font>
      <b/>
      <sz val="11"/>
      <color theme="1"/>
      <name val="Aptos Narrow"/>
      <scheme val="minor"/>
    </font>
    <font>
      <sz val="11"/>
      <color rgb="FF006100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0" fontId="0" fillId="0" borderId="0" xfId="0" applyNumberFormat="1"/>
    <xf numFmtId="0" fontId="16" fillId="0" borderId="0" xfId="0" applyFont="1"/>
    <xf numFmtId="0" fontId="18" fillId="2" borderId="0" xfId="6" applyFont="1"/>
    <xf numFmtId="0" fontId="7" fillId="3" borderId="0" xfId="7"/>
    <xf numFmtId="0" fontId="6" fillId="2" borderId="0" xfId="6"/>
    <xf numFmtId="0" fontId="19" fillId="3" borderId="0" xfId="7" applyFont="1"/>
    <xf numFmtId="0" fontId="20" fillId="0" borderId="0" xfId="0" applyFont="1"/>
    <xf numFmtId="0" fontId="21" fillId="2" borderId="0" xfId="6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C618E-1316-485F-B4BB-F926B7710D37}">
  <dimension ref="A1:BA52"/>
  <sheetViews>
    <sheetView tabSelected="1" topLeftCell="AB1" zoomScale="55" zoomScaleNormal="48" workbookViewId="0">
      <selection activeCell="F41" sqref="F41"/>
    </sheetView>
  </sheetViews>
  <sheetFormatPr defaultColWidth="8.81640625" defaultRowHeight="14.5" x14ac:dyDescent="0.35"/>
  <cols>
    <col min="1" max="1" width="23.36328125" bestFit="1" customWidth="1"/>
    <col min="2" max="2" width="11.26953125" bestFit="1" customWidth="1"/>
    <col min="3" max="3" width="16" bestFit="1" customWidth="1"/>
    <col min="4" max="4" width="13.36328125" customWidth="1"/>
    <col min="5" max="6" width="11.08984375" bestFit="1" customWidth="1"/>
    <col min="7" max="7" width="10.90625" bestFit="1" customWidth="1"/>
    <col min="8" max="8" width="19.453125" bestFit="1" customWidth="1"/>
    <col min="9" max="9" width="11.453125" bestFit="1" customWidth="1"/>
    <col min="10" max="10" width="9" bestFit="1" customWidth="1"/>
    <col min="11" max="11" width="12.1796875" bestFit="1" customWidth="1"/>
    <col min="12" max="12" width="9.1796875" bestFit="1" customWidth="1"/>
    <col min="13" max="13" width="13.7265625" bestFit="1" customWidth="1"/>
    <col min="14" max="14" width="13.90625" bestFit="1" customWidth="1"/>
    <col min="15" max="15" width="8.26953125" bestFit="1" customWidth="1"/>
    <col min="16" max="16" width="19.1796875" bestFit="1" customWidth="1"/>
    <col min="20" max="20" width="18.54296875" bestFit="1" customWidth="1"/>
    <col min="21" max="21" width="9" bestFit="1" customWidth="1"/>
    <col min="22" max="22" width="13.26953125" bestFit="1" customWidth="1"/>
    <col min="23" max="23" width="11" bestFit="1" customWidth="1"/>
    <col min="24" max="24" width="8.81640625" customWidth="1"/>
    <col min="25" max="25" width="9" bestFit="1" customWidth="1"/>
    <col min="26" max="26" width="8.36328125" bestFit="1" customWidth="1"/>
    <col min="27" max="27" width="15.26953125" bestFit="1" customWidth="1"/>
    <col min="28" max="28" width="9.6328125" bestFit="1" customWidth="1"/>
    <col min="29" max="29" width="5.08984375" bestFit="1" customWidth="1"/>
    <col min="30" max="30" width="10.1796875" bestFit="1" customWidth="1"/>
    <col min="31" max="31" width="7.1796875" bestFit="1" customWidth="1"/>
    <col min="32" max="33" width="11.36328125" bestFit="1" customWidth="1"/>
    <col min="34" max="34" width="5.54296875" bestFit="1" customWidth="1"/>
    <col min="35" max="35" width="15.26953125" bestFit="1" customWidth="1"/>
    <col min="39" max="39" width="11.81640625" bestFit="1" customWidth="1"/>
    <col min="40" max="41" width="12.81640625" bestFit="1" customWidth="1"/>
    <col min="42" max="44" width="11.81640625" bestFit="1" customWidth="1"/>
    <col min="45" max="45" width="14.36328125" bestFit="1" customWidth="1"/>
    <col min="46" max="47" width="12.81640625" bestFit="1" customWidth="1"/>
    <col min="48" max="52" width="11.81640625" bestFit="1" customWidth="1"/>
    <col min="53" max="53" width="14" bestFit="1" customWidth="1"/>
  </cols>
  <sheetData>
    <row r="1" spans="1:53" x14ac:dyDescent="0.35">
      <c r="A1" s="2" t="s">
        <v>17</v>
      </c>
      <c r="T1" s="2" t="s">
        <v>19</v>
      </c>
      <c r="AL1" t="s">
        <v>34</v>
      </c>
    </row>
    <row r="2" spans="1:53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20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U2" t="s">
        <v>0</v>
      </c>
      <c r="V2" t="s">
        <v>1</v>
      </c>
      <c r="W2" t="s">
        <v>2</v>
      </c>
      <c r="X2" t="s">
        <v>3</v>
      </c>
      <c r="Y2" t="s">
        <v>4</v>
      </c>
      <c r="Z2" t="s">
        <v>5</v>
      </c>
      <c r="AA2" t="s">
        <v>20</v>
      </c>
      <c r="AB2" t="s">
        <v>6</v>
      </c>
      <c r="AC2" t="s">
        <v>7</v>
      </c>
      <c r="AD2" t="s">
        <v>8</v>
      </c>
      <c r="AE2" t="s">
        <v>9</v>
      </c>
      <c r="AF2" t="s">
        <v>10</v>
      </c>
      <c r="AG2" t="s">
        <v>11</v>
      </c>
      <c r="AH2" t="s">
        <v>12</v>
      </c>
      <c r="AI2" t="s">
        <v>13</v>
      </c>
      <c r="AM2" t="s">
        <v>0</v>
      </c>
      <c r="AN2" t="s">
        <v>1</v>
      </c>
      <c r="AO2" t="s">
        <v>2</v>
      </c>
      <c r="AP2" t="s">
        <v>3</v>
      </c>
      <c r="AQ2" t="s">
        <v>4</v>
      </c>
      <c r="AR2" t="s">
        <v>5</v>
      </c>
      <c r="AS2" t="s">
        <v>20</v>
      </c>
      <c r="AT2" t="s">
        <v>6</v>
      </c>
      <c r="AU2" t="s">
        <v>7</v>
      </c>
      <c r="AV2" t="s">
        <v>8</v>
      </c>
      <c r="AW2" t="s">
        <v>9</v>
      </c>
      <c r="AX2" t="s">
        <v>10</v>
      </c>
      <c r="AY2" t="s">
        <v>11</v>
      </c>
      <c r="AZ2" t="s">
        <v>12</v>
      </c>
      <c r="BA2" t="s">
        <v>13</v>
      </c>
    </row>
    <row r="3" spans="1:53" x14ac:dyDescent="0.35">
      <c r="A3" t="s">
        <v>21</v>
      </c>
      <c r="B3" s="1">
        <v>0.25</v>
      </c>
      <c r="C3" s="1">
        <v>0.33329999999999999</v>
      </c>
      <c r="D3" s="1">
        <v>0</v>
      </c>
      <c r="E3" s="1">
        <v>0.375</v>
      </c>
      <c r="F3" s="1">
        <v>0.25</v>
      </c>
      <c r="G3" s="1">
        <v>8.3299999999999999E-2</v>
      </c>
      <c r="H3" s="1">
        <v>0.375</v>
      </c>
      <c r="I3" s="1">
        <v>0.16669999999999999</v>
      </c>
      <c r="J3" s="1">
        <v>8.3299999999999999E-2</v>
      </c>
      <c r="K3" s="1">
        <v>0.20830000000000001</v>
      </c>
      <c r="L3" s="1">
        <v>0.66659999999999997</v>
      </c>
      <c r="M3" s="1">
        <v>0.5</v>
      </c>
      <c r="N3" s="1">
        <v>0.54159999999999997</v>
      </c>
      <c r="O3" s="1">
        <v>0.625</v>
      </c>
      <c r="P3" s="1">
        <v>0.20830000000000001</v>
      </c>
      <c r="T3" t="s">
        <v>21</v>
      </c>
      <c r="U3">
        <f>IF(AND(B3&gt;=50%,B21&lt;=20%), -1, IF(AND(B3&lt;=30%, B21&gt;=30%),1,0))</f>
        <v>0</v>
      </c>
      <c r="V3">
        <f t="shared" ref="V3:AI16" si="0">IF(AND(C3&gt;=50%,C21&lt;=20%), -1, IF(AND(C3&lt;=30%, C21&gt;=30%),1,0))</f>
        <v>0</v>
      </c>
      <c r="W3">
        <f t="shared" si="0"/>
        <v>1</v>
      </c>
      <c r="X3">
        <f t="shared" si="0"/>
        <v>0</v>
      </c>
      <c r="Y3">
        <f t="shared" si="0"/>
        <v>1</v>
      </c>
      <c r="Z3">
        <f t="shared" si="0"/>
        <v>1</v>
      </c>
      <c r="AA3">
        <f t="shared" si="0"/>
        <v>0</v>
      </c>
      <c r="AB3">
        <f t="shared" si="0"/>
        <v>1</v>
      </c>
      <c r="AC3">
        <f t="shared" si="0"/>
        <v>1</v>
      </c>
      <c r="AD3">
        <f t="shared" si="0"/>
        <v>1</v>
      </c>
      <c r="AE3">
        <f t="shared" si="0"/>
        <v>0</v>
      </c>
      <c r="AF3">
        <f t="shared" si="0"/>
        <v>0</v>
      </c>
      <c r="AG3">
        <f t="shared" si="0"/>
        <v>-1</v>
      </c>
      <c r="AH3">
        <f t="shared" si="0"/>
        <v>-1</v>
      </c>
      <c r="AI3">
        <f t="shared" si="0"/>
        <v>1</v>
      </c>
      <c r="AL3" t="s">
        <v>21</v>
      </c>
      <c r="AM3" t="str">
        <f>IF(U3=U39, "S", IF(U3&gt;U39, "U", "O"))</f>
        <v>O</v>
      </c>
      <c r="AN3" t="str">
        <f t="shared" ref="AN3:BA16" si="1">IF(V3=V39, "S", IF(V3&gt;V39, "U", "O"))</f>
        <v>S</v>
      </c>
      <c r="AO3" t="str">
        <f t="shared" si="1"/>
        <v>S</v>
      </c>
      <c r="AP3" t="str">
        <f t="shared" si="1"/>
        <v>O</v>
      </c>
      <c r="AQ3" t="str">
        <f t="shared" si="1"/>
        <v>S</v>
      </c>
      <c r="AR3" t="str">
        <f t="shared" si="1"/>
        <v>S</v>
      </c>
      <c r="AS3" t="str">
        <f t="shared" si="1"/>
        <v>O</v>
      </c>
      <c r="AT3" t="str">
        <f t="shared" si="1"/>
        <v>S</v>
      </c>
      <c r="AU3" t="str">
        <f t="shared" si="1"/>
        <v>S</v>
      </c>
      <c r="AV3" t="str">
        <f t="shared" si="1"/>
        <v>S</v>
      </c>
      <c r="AW3" t="str">
        <f t="shared" si="1"/>
        <v>O</v>
      </c>
      <c r="AX3" t="str">
        <f t="shared" si="1"/>
        <v>O</v>
      </c>
      <c r="AY3" t="str">
        <f t="shared" si="1"/>
        <v>O</v>
      </c>
      <c r="AZ3" t="str">
        <f t="shared" si="1"/>
        <v>S</v>
      </c>
      <c r="BA3" t="str">
        <f t="shared" si="1"/>
        <v>S</v>
      </c>
    </row>
    <row r="4" spans="1:53" x14ac:dyDescent="0.35">
      <c r="A4" t="s">
        <v>22</v>
      </c>
      <c r="B4" s="1">
        <v>0.83330000000000004</v>
      </c>
      <c r="C4" s="1">
        <v>0.83330000000000004</v>
      </c>
      <c r="D4" s="1">
        <v>8.3400000000000002E-2</v>
      </c>
      <c r="E4" s="1">
        <v>0.5</v>
      </c>
      <c r="F4" s="1">
        <v>0.75</v>
      </c>
      <c r="G4" s="1">
        <v>0.83330000000000004</v>
      </c>
      <c r="H4" s="1">
        <v>0.66669999999999996</v>
      </c>
      <c r="I4" s="1">
        <v>8.3400000000000002E-2</v>
      </c>
      <c r="J4" s="1">
        <v>0.66659999999999997</v>
      </c>
      <c r="K4" s="1">
        <v>0.66659999999999997</v>
      </c>
      <c r="L4" s="1">
        <v>0.79169999999999996</v>
      </c>
      <c r="M4" s="1">
        <v>0.83340000000000003</v>
      </c>
      <c r="N4" s="1">
        <v>0.79169999999999996</v>
      </c>
      <c r="O4" s="1">
        <v>0.79169999999999996</v>
      </c>
      <c r="P4" s="1">
        <v>0.79159999999999997</v>
      </c>
      <c r="T4" t="s">
        <v>22</v>
      </c>
      <c r="U4">
        <f t="shared" ref="U4:U16" si="2">IF(AND(B4&gt;=50%,B22&lt;=20%), -1, IF(AND(B4&lt;=30%, B22&gt;=30%),1,0))</f>
        <v>-1</v>
      </c>
      <c r="V4">
        <f t="shared" si="0"/>
        <v>-1</v>
      </c>
      <c r="W4">
        <f t="shared" si="0"/>
        <v>1</v>
      </c>
      <c r="X4">
        <f t="shared" si="0"/>
        <v>0</v>
      </c>
      <c r="Y4">
        <f t="shared" si="0"/>
        <v>-1</v>
      </c>
      <c r="Z4">
        <f t="shared" si="0"/>
        <v>-1</v>
      </c>
      <c r="AA4">
        <f t="shared" si="0"/>
        <v>-1</v>
      </c>
      <c r="AB4">
        <f t="shared" si="0"/>
        <v>1</v>
      </c>
      <c r="AC4">
        <f t="shared" si="0"/>
        <v>-1</v>
      </c>
      <c r="AD4">
        <f t="shared" si="0"/>
        <v>-1</v>
      </c>
      <c r="AE4">
        <f t="shared" si="0"/>
        <v>-1</v>
      </c>
      <c r="AF4">
        <f t="shared" si="0"/>
        <v>-1</v>
      </c>
      <c r="AG4">
        <f t="shared" si="0"/>
        <v>-1</v>
      </c>
      <c r="AH4">
        <f t="shared" si="0"/>
        <v>-1</v>
      </c>
      <c r="AI4">
        <f t="shared" si="0"/>
        <v>-1</v>
      </c>
      <c r="AL4" t="s">
        <v>22</v>
      </c>
      <c r="AM4" t="str">
        <f t="shared" ref="AM4:AM16" si="3">IF(U4=U40, "S", IF(U4&gt;U40, "U", "O"))</f>
        <v>S</v>
      </c>
      <c r="AN4" t="str">
        <f t="shared" si="1"/>
        <v>S</v>
      </c>
      <c r="AO4" t="str">
        <f t="shared" si="1"/>
        <v>S</v>
      </c>
      <c r="AP4" t="str">
        <f t="shared" si="1"/>
        <v>O</v>
      </c>
      <c r="AQ4" t="str">
        <f t="shared" si="1"/>
        <v>S</v>
      </c>
      <c r="AR4" t="str">
        <f t="shared" si="1"/>
        <v>S</v>
      </c>
      <c r="AS4" t="str">
        <f t="shared" si="1"/>
        <v>S</v>
      </c>
      <c r="AT4" t="str">
        <f t="shared" si="1"/>
        <v>S</v>
      </c>
      <c r="AU4" t="str">
        <f t="shared" si="1"/>
        <v>S</v>
      </c>
      <c r="AV4" t="str">
        <f t="shared" si="1"/>
        <v>S</v>
      </c>
      <c r="AW4" t="str">
        <f t="shared" si="1"/>
        <v>S</v>
      </c>
      <c r="AX4" t="str">
        <f t="shared" si="1"/>
        <v>S</v>
      </c>
      <c r="AY4" t="str">
        <f t="shared" si="1"/>
        <v>S</v>
      </c>
      <c r="AZ4" t="str">
        <f t="shared" si="1"/>
        <v>S</v>
      </c>
      <c r="BA4" t="str">
        <f t="shared" si="1"/>
        <v>S</v>
      </c>
    </row>
    <row r="5" spans="1:53" x14ac:dyDescent="0.35">
      <c r="A5" t="s">
        <v>23</v>
      </c>
      <c r="B5" s="1">
        <v>0.70830000000000004</v>
      </c>
      <c r="C5" s="1">
        <v>0.66669999999999996</v>
      </c>
      <c r="D5" s="1">
        <v>0.125</v>
      </c>
      <c r="E5" s="1">
        <v>0.75</v>
      </c>
      <c r="F5" s="1">
        <v>0.70840000000000003</v>
      </c>
      <c r="G5" s="1">
        <v>0.875</v>
      </c>
      <c r="H5" s="1">
        <v>0.79159999999999997</v>
      </c>
      <c r="I5" s="1">
        <v>0.91669999999999996</v>
      </c>
      <c r="J5" s="1">
        <v>0.70840000000000003</v>
      </c>
      <c r="K5" s="1">
        <v>0.75</v>
      </c>
      <c r="L5" s="1">
        <v>0.79169999999999996</v>
      </c>
      <c r="M5" s="1">
        <v>0.75</v>
      </c>
      <c r="N5" s="1">
        <v>0.75</v>
      </c>
      <c r="O5" s="1">
        <v>0.75</v>
      </c>
      <c r="P5" s="1">
        <v>0.83330000000000004</v>
      </c>
      <c r="T5" t="s">
        <v>23</v>
      </c>
      <c r="U5">
        <f t="shared" si="2"/>
        <v>-1</v>
      </c>
      <c r="V5">
        <f t="shared" si="0"/>
        <v>-1</v>
      </c>
      <c r="W5">
        <f t="shared" si="0"/>
        <v>1</v>
      </c>
      <c r="X5">
        <f t="shared" si="0"/>
        <v>-1</v>
      </c>
      <c r="Y5">
        <f t="shared" si="0"/>
        <v>-1</v>
      </c>
      <c r="Z5">
        <f t="shared" si="0"/>
        <v>-1</v>
      </c>
      <c r="AA5">
        <f t="shared" si="0"/>
        <v>-1</v>
      </c>
      <c r="AB5">
        <f t="shared" si="0"/>
        <v>-1</v>
      </c>
      <c r="AC5">
        <f t="shared" si="0"/>
        <v>-1</v>
      </c>
      <c r="AD5">
        <f t="shared" si="0"/>
        <v>-1</v>
      </c>
      <c r="AE5">
        <f t="shared" si="0"/>
        <v>-1</v>
      </c>
      <c r="AF5">
        <f t="shared" si="0"/>
        <v>-1</v>
      </c>
      <c r="AG5">
        <f t="shared" si="0"/>
        <v>-1</v>
      </c>
      <c r="AH5">
        <f t="shared" si="0"/>
        <v>-1</v>
      </c>
      <c r="AI5">
        <f t="shared" si="0"/>
        <v>-1</v>
      </c>
      <c r="AL5" t="s">
        <v>23</v>
      </c>
      <c r="AM5" t="str">
        <f t="shared" si="3"/>
        <v>S</v>
      </c>
      <c r="AN5" t="str">
        <f t="shared" si="1"/>
        <v>S</v>
      </c>
      <c r="AO5" t="str">
        <f t="shared" si="1"/>
        <v>S</v>
      </c>
      <c r="AP5" t="str">
        <f t="shared" si="1"/>
        <v>S</v>
      </c>
      <c r="AQ5" t="str">
        <f t="shared" si="1"/>
        <v>S</v>
      </c>
      <c r="AR5" t="str">
        <f t="shared" si="1"/>
        <v>S</v>
      </c>
      <c r="AS5" t="str">
        <f t="shared" si="1"/>
        <v>S</v>
      </c>
      <c r="AT5" t="str">
        <f t="shared" si="1"/>
        <v>S</v>
      </c>
      <c r="AU5" t="str">
        <f t="shared" si="1"/>
        <v>S</v>
      </c>
      <c r="AV5" t="str">
        <f t="shared" si="1"/>
        <v>S</v>
      </c>
      <c r="AW5" t="str">
        <f t="shared" si="1"/>
        <v>S</v>
      </c>
      <c r="AX5" t="str">
        <f t="shared" si="1"/>
        <v>S</v>
      </c>
      <c r="AY5" t="str">
        <f t="shared" si="1"/>
        <v>S</v>
      </c>
      <c r="AZ5" t="str">
        <f t="shared" si="1"/>
        <v>S</v>
      </c>
      <c r="BA5" t="str">
        <f t="shared" si="1"/>
        <v>S</v>
      </c>
    </row>
    <row r="6" spans="1:53" x14ac:dyDescent="0.35">
      <c r="A6" t="s">
        <v>24</v>
      </c>
      <c r="B6" s="1">
        <v>0.875</v>
      </c>
      <c r="C6" s="1">
        <v>0.83330000000000004</v>
      </c>
      <c r="D6" s="1">
        <v>0.125</v>
      </c>
      <c r="E6" s="1">
        <v>0.79169999999999996</v>
      </c>
      <c r="F6" s="1">
        <v>0.79169999999999996</v>
      </c>
      <c r="G6" s="1">
        <v>0.875</v>
      </c>
      <c r="H6" s="1">
        <v>0.875</v>
      </c>
      <c r="I6" s="1">
        <v>0.95830000000000004</v>
      </c>
      <c r="J6" s="1">
        <v>0.54159999999999997</v>
      </c>
      <c r="K6" s="1">
        <v>0.66659999999999997</v>
      </c>
      <c r="L6" s="1">
        <v>0.79169999999999996</v>
      </c>
      <c r="M6" s="1">
        <v>0.83340000000000003</v>
      </c>
      <c r="N6" s="1">
        <v>0.79169999999999996</v>
      </c>
      <c r="O6" s="1">
        <v>0.79169999999999996</v>
      </c>
      <c r="P6" s="1">
        <v>0.79159999999999997</v>
      </c>
      <c r="T6" t="s">
        <v>24</v>
      </c>
      <c r="U6">
        <f t="shared" si="2"/>
        <v>-1</v>
      </c>
      <c r="V6">
        <f t="shared" si="0"/>
        <v>-1</v>
      </c>
      <c r="W6">
        <f t="shared" si="0"/>
        <v>1</v>
      </c>
      <c r="X6">
        <f t="shared" si="0"/>
        <v>-1</v>
      </c>
      <c r="Y6">
        <f t="shared" si="0"/>
        <v>-1</v>
      </c>
      <c r="Z6">
        <f t="shared" si="0"/>
        <v>-1</v>
      </c>
      <c r="AA6">
        <f t="shared" si="0"/>
        <v>-1</v>
      </c>
      <c r="AB6">
        <f t="shared" si="0"/>
        <v>-1</v>
      </c>
      <c r="AC6">
        <f t="shared" si="0"/>
        <v>0</v>
      </c>
      <c r="AD6">
        <f t="shared" si="0"/>
        <v>-1</v>
      </c>
      <c r="AE6">
        <f t="shared" si="0"/>
        <v>-1</v>
      </c>
      <c r="AF6">
        <f t="shared" si="0"/>
        <v>-1</v>
      </c>
      <c r="AG6">
        <f t="shared" si="0"/>
        <v>-1</v>
      </c>
      <c r="AH6">
        <f t="shared" si="0"/>
        <v>-1</v>
      </c>
      <c r="AI6">
        <f t="shared" si="0"/>
        <v>-1</v>
      </c>
      <c r="AL6" t="s">
        <v>24</v>
      </c>
      <c r="AM6" t="str">
        <f t="shared" si="3"/>
        <v>S</v>
      </c>
      <c r="AN6" t="str">
        <f t="shared" si="1"/>
        <v>S</v>
      </c>
      <c r="AO6" t="str">
        <f t="shared" si="1"/>
        <v>S</v>
      </c>
      <c r="AP6" t="str">
        <f t="shared" si="1"/>
        <v>S</v>
      </c>
      <c r="AQ6" t="str">
        <f t="shared" si="1"/>
        <v>S</v>
      </c>
      <c r="AR6" t="str">
        <f t="shared" si="1"/>
        <v>S</v>
      </c>
      <c r="AS6" t="str">
        <f t="shared" si="1"/>
        <v>S</v>
      </c>
      <c r="AT6" t="str">
        <f t="shared" si="1"/>
        <v>S</v>
      </c>
      <c r="AU6" t="str">
        <f t="shared" si="1"/>
        <v>S</v>
      </c>
      <c r="AV6" t="str">
        <f t="shared" si="1"/>
        <v>O</v>
      </c>
      <c r="AW6" t="str">
        <f t="shared" si="1"/>
        <v>S</v>
      </c>
      <c r="AX6" t="str">
        <f t="shared" si="1"/>
        <v>S</v>
      </c>
      <c r="AY6" t="str">
        <f t="shared" si="1"/>
        <v>S</v>
      </c>
      <c r="AZ6" t="str">
        <f t="shared" si="1"/>
        <v>S</v>
      </c>
      <c r="BA6" t="str">
        <f t="shared" si="1"/>
        <v>S</v>
      </c>
    </row>
    <row r="7" spans="1:53" x14ac:dyDescent="0.35">
      <c r="A7" t="s">
        <v>16</v>
      </c>
      <c r="B7" s="1">
        <v>0.91659999999999997</v>
      </c>
      <c r="C7" s="1">
        <v>0.91659999999999997</v>
      </c>
      <c r="D7" s="1">
        <v>0.1666</v>
      </c>
      <c r="E7" s="1">
        <v>0.58330000000000004</v>
      </c>
      <c r="F7" s="1">
        <v>0.45829999999999999</v>
      </c>
      <c r="G7" s="1">
        <v>0.25</v>
      </c>
      <c r="H7" s="1">
        <v>0.54169999999999996</v>
      </c>
      <c r="I7" s="1">
        <v>0.75</v>
      </c>
      <c r="J7" s="1">
        <v>0.58330000000000004</v>
      </c>
      <c r="K7" s="1">
        <v>0.5</v>
      </c>
      <c r="L7" s="1">
        <v>0.79169999999999996</v>
      </c>
      <c r="M7" s="1">
        <v>0.83340000000000003</v>
      </c>
      <c r="N7" s="1">
        <v>0.79169999999999996</v>
      </c>
      <c r="O7" s="1">
        <v>0.75</v>
      </c>
      <c r="P7" s="1">
        <v>0.70840000000000003</v>
      </c>
      <c r="T7" t="s">
        <v>16</v>
      </c>
      <c r="U7">
        <f t="shared" si="2"/>
        <v>-1</v>
      </c>
      <c r="V7">
        <f t="shared" si="0"/>
        <v>-1</v>
      </c>
      <c r="W7">
        <f t="shared" si="0"/>
        <v>1</v>
      </c>
      <c r="X7">
        <f t="shared" si="0"/>
        <v>0</v>
      </c>
      <c r="Y7">
        <f t="shared" si="0"/>
        <v>0</v>
      </c>
      <c r="Z7">
        <f t="shared" si="0"/>
        <v>1</v>
      </c>
      <c r="AA7">
        <f t="shared" si="0"/>
        <v>0</v>
      </c>
      <c r="AB7">
        <f t="shared" si="0"/>
        <v>0</v>
      </c>
      <c r="AC7">
        <f t="shared" si="0"/>
        <v>0</v>
      </c>
      <c r="AD7">
        <f t="shared" si="0"/>
        <v>-1</v>
      </c>
      <c r="AE7">
        <f t="shared" si="0"/>
        <v>-1</v>
      </c>
      <c r="AF7">
        <f t="shared" si="0"/>
        <v>-1</v>
      </c>
      <c r="AG7">
        <f t="shared" si="0"/>
        <v>-1</v>
      </c>
      <c r="AH7">
        <f t="shared" si="0"/>
        <v>-1</v>
      </c>
      <c r="AI7">
        <f t="shared" si="0"/>
        <v>-1</v>
      </c>
      <c r="AL7" t="s">
        <v>16</v>
      </c>
      <c r="AM7" t="str">
        <f t="shared" si="3"/>
        <v>S</v>
      </c>
      <c r="AN7" t="str">
        <f t="shared" si="1"/>
        <v>S</v>
      </c>
      <c r="AO7" t="str">
        <f t="shared" si="1"/>
        <v>S</v>
      </c>
      <c r="AP7" t="str">
        <f t="shared" si="1"/>
        <v>S</v>
      </c>
      <c r="AQ7" t="str">
        <f t="shared" si="1"/>
        <v>O</v>
      </c>
      <c r="AR7" t="str">
        <f t="shared" si="1"/>
        <v>S</v>
      </c>
      <c r="AS7" t="str">
        <f t="shared" si="1"/>
        <v>O</v>
      </c>
      <c r="AT7" t="str">
        <f t="shared" si="1"/>
        <v>S</v>
      </c>
      <c r="AU7" t="str">
        <f t="shared" si="1"/>
        <v>U</v>
      </c>
      <c r="AV7" t="str">
        <f t="shared" si="1"/>
        <v>S</v>
      </c>
      <c r="AW7" t="str">
        <f t="shared" si="1"/>
        <v>S</v>
      </c>
      <c r="AX7" t="str">
        <f t="shared" si="1"/>
        <v>S</v>
      </c>
      <c r="AY7" t="str">
        <f t="shared" si="1"/>
        <v>S</v>
      </c>
      <c r="AZ7" t="str">
        <f t="shared" si="1"/>
        <v>S</v>
      </c>
      <c r="BA7" t="str">
        <f t="shared" si="1"/>
        <v>S</v>
      </c>
    </row>
    <row r="8" spans="1:53" x14ac:dyDescent="0.35">
      <c r="A8" t="s">
        <v>25</v>
      </c>
      <c r="B8" s="1">
        <v>0.625</v>
      </c>
      <c r="C8" s="1">
        <v>0.75</v>
      </c>
      <c r="D8" s="1">
        <v>0.5</v>
      </c>
      <c r="E8" s="1">
        <v>0.79169999999999996</v>
      </c>
      <c r="F8" s="1">
        <v>0.625</v>
      </c>
      <c r="G8" s="1">
        <v>0.54169999999999996</v>
      </c>
      <c r="H8" s="1">
        <v>0.66669999999999996</v>
      </c>
      <c r="I8" s="1">
        <v>0.5</v>
      </c>
      <c r="J8" s="1">
        <v>0.125</v>
      </c>
      <c r="K8" s="1">
        <v>0.5</v>
      </c>
      <c r="L8" s="1">
        <v>0.54169999999999996</v>
      </c>
      <c r="M8" s="1">
        <v>0.45829999999999999</v>
      </c>
      <c r="N8" s="1">
        <v>0.79169999999999996</v>
      </c>
      <c r="O8" s="1">
        <v>0.75</v>
      </c>
      <c r="P8" s="1">
        <v>0.2084</v>
      </c>
      <c r="T8" t="s">
        <v>25</v>
      </c>
      <c r="U8">
        <f t="shared" si="2"/>
        <v>-1</v>
      </c>
      <c r="V8">
        <f t="shared" si="0"/>
        <v>-1</v>
      </c>
      <c r="W8">
        <f t="shared" si="0"/>
        <v>0</v>
      </c>
      <c r="X8">
        <f t="shared" si="0"/>
        <v>-1</v>
      </c>
      <c r="Y8">
        <f t="shared" si="0"/>
        <v>0</v>
      </c>
      <c r="Z8">
        <f t="shared" si="0"/>
        <v>0</v>
      </c>
      <c r="AA8">
        <f t="shared" si="0"/>
        <v>0</v>
      </c>
      <c r="AB8">
        <f t="shared" si="0"/>
        <v>0</v>
      </c>
      <c r="AC8">
        <f t="shared" si="0"/>
        <v>1</v>
      </c>
      <c r="AD8">
        <f t="shared" si="0"/>
        <v>0</v>
      </c>
      <c r="AE8">
        <f t="shared" si="0"/>
        <v>0</v>
      </c>
      <c r="AF8">
        <f t="shared" si="0"/>
        <v>0</v>
      </c>
      <c r="AG8">
        <f t="shared" si="0"/>
        <v>-1</v>
      </c>
      <c r="AH8">
        <f t="shared" si="0"/>
        <v>-1</v>
      </c>
      <c r="AI8">
        <f t="shared" si="0"/>
        <v>1</v>
      </c>
      <c r="AL8" t="s">
        <v>25</v>
      </c>
      <c r="AM8" t="str">
        <f t="shared" si="3"/>
        <v>S</v>
      </c>
      <c r="AN8" t="str">
        <f t="shared" si="1"/>
        <v>S</v>
      </c>
      <c r="AO8" t="str">
        <f t="shared" si="1"/>
        <v>S</v>
      </c>
      <c r="AP8" t="str">
        <f t="shared" si="1"/>
        <v>S</v>
      </c>
      <c r="AQ8" t="str">
        <f t="shared" si="1"/>
        <v>U</v>
      </c>
      <c r="AR8" t="str">
        <f t="shared" si="1"/>
        <v>U</v>
      </c>
      <c r="AS8" t="str">
        <f t="shared" si="1"/>
        <v>U</v>
      </c>
      <c r="AT8" t="str">
        <f t="shared" si="1"/>
        <v>U</v>
      </c>
      <c r="AU8" t="str">
        <f t="shared" si="1"/>
        <v>S</v>
      </c>
      <c r="AV8" t="str">
        <f t="shared" si="1"/>
        <v>U</v>
      </c>
      <c r="AW8" t="str">
        <f t="shared" si="1"/>
        <v>U</v>
      </c>
      <c r="AX8" t="str">
        <f t="shared" si="1"/>
        <v>U</v>
      </c>
      <c r="AY8" t="str">
        <f t="shared" si="1"/>
        <v>S</v>
      </c>
      <c r="AZ8" t="str">
        <f t="shared" si="1"/>
        <v>S</v>
      </c>
      <c r="BA8" t="str">
        <f t="shared" si="1"/>
        <v>S</v>
      </c>
    </row>
    <row r="9" spans="1:53" x14ac:dyDescent="0.35">
      <c r="A9" t="s">
        <v>26</v>
      </c>
      <c r="B9" s="1">
        <v>0.91659999999999997</v>
      </c>
      <c r="C9" s="1">
        <v>0.95830000000000004</v>
      </c>
      <c r="D9" s="1">
        <v>0.54169999999999996</v>
      </c>
      <c r="E9" s="1">
        <v>0.29170000000000001</v>
      </c>
      <c r="F9" s="1">
        <v>0.20830000000000001</v>
      </c>
      <c r="G9" s="1">
        <v>0.95830000000000004</v>
      </c>
      <c r="H9" s="1">
        <v>0.875</v>
      </c>
      <c r="I9" s="1">
        <v>0.95830000000000004</v>
      </c>
      <c r="J9" s="1">
        <v>0.875</v>
      </c>
      <c r="K9" s="1">
        <v>0.79169999999999996</v>
      </c>
      <c r="L9" s="1">
        <v>0.79169999999999996</v>
      </c>
      <c r="M9" s="1">
        <v>0.875</v>
      </c>
      <c r="N9" s="1">
        <v>0.79169999999999996</v>
      </c>
      <c r="O9" s="1">
        <v>0.79169999999999996</v>
      </c>
      <c r="P9" s="1">
        <v>0.875</v>
      </c>
      <c r="T9" t="s">
        <v>26</v>
      </c>
      <c r="U9">
        <f t="shared" si="2"/>
        <v>-1</v>
      </c>
      <c r="V9">
        <f t="shared" si="0"/>
        <v>-1</v>
      </c>
      <c r="W9">
        <f t="shared" si="0"/>
        <v>0</v>
      </c>
      <c r="X9">
        <f t="shared" si="0"/>
        <v>1</v>
      </c>
      <c r="Y9">
        <f t="shared" si="0"/>
        <v>1</v>
      </c>
      <c r="Z9">
        <f t="shared" si="0"/>
        <v>-1</v>
      </c>
      <c r="AA9">
        <f t="shared" si="0"/>
        <v>-1</v>
      </c>
      <c r="AB9">
        <f t="shared" si="0"/>
        <v>-1</v>
      </c>
      <c r="AC9">
        <f t="shared" si="0"/>
        <v>-1</v>
      </c>
      <c r="AD9">
        <f t="shared" si="0"/>
        <v>-1</v>
      </c>
      <c r="AE9">
        <f t="shared" si="0"/>
        <v>-1</v>
      </c>
      <c r="AF9">
        <f t="shared" si="0"/>
        <v>-1</v>
      </c>
      <c r="AG9">
        <f t="shared" si="0"/>
        <v>-1</v>
      </c>
      <c r="AH9">
        <f t="shared" si="0"/>
        <v>-1</v>
      </c>
      <c r="AI9">
        <f t="shared" si="0"/>
        <v>-1</v>
      </c>
      <c r="AL9" t="s">
        <v>26</v>
      </c>
      <c r="AM9" t="str">
        <f t="shared" si="3"/>
        <v>S</v>
      </c>
      <c r="AN9" t="str">
        <f t="shared" si="1"/>
        <v>S</v>
      </c>
      <c r="AO9" t="str">
        <f t="shared" si="1"/>
        <v>S</v>
      </c>
      <c r="AP9" t="str">
        <f t="shared" si="1"/>
        <v>S</v>
      </c>
      <c r="AQ9" t="str">
        <f t="shared" si="1"/>
        <v>S</v>
      </c>
      <c r="AR9" t="str">
        <f t="shared" si="1"/>
        <v>S</v>
      </c>
      <c r="AS9" t="str">
        <f t="shared" si="1"/>
        <v>S</v>
      </c>
      <c r="AT9" t="str">
        <f t="shared" si="1"/>
        <v>S</v>
      </c>
      <c r="AU9" t="str">
        <f t="shared" si="1"/>
        <v>S</v>
      </c>
      <c r="AV9" t="str">
        <f t="shared" si="1"/>
        <v>S</v>
      </c>
      <c r="AW9" t="str">
        <f t="shared" si="1"/>
        <v>S</v>
      </c>
      <c r="AX9" t="str">
        <f t="shared" si="1"/>
        <v>S</v>
      </c>
      <c r="AY9" t="str">
        <f t="shared" si="1"/>
        <v>S</v>
      </c>
      <c r="AZ9" t="str">
        <f t="shared" si="1"/>
        <v>S</v>
      </c>
      <c r="BA9" t="str">
        <f t="shared" si="1"/>
        <v>S</v>
      </c>
    </row>
    <row r="10" spans="1:53" x14ac:dyDescent="0.35">
      <c r="A10" t="s">
        <v>14</v>
      </c>
      <c r="B10" s="1">
        <v>0.95830000000000004</v>
      </c>
      <c r="C10" s="1">
        <v>0.95830000000000004</v>
      </c>
      <c r="D10" s="1">
        <v>0.41660000000000003</v>
      </c>
      <c r="E10" s="1">
        <v>0.16669999999999999</v>
      </c>
      <c r="F10" s="1">
        <v>0.1666</v>
      </c>
      <c r="G10" s="1">
        <v>0.95830000000000004</v>
      </c>
      <c r="H10" s="1">
        <v>0.875</v>
      </c>
      <c r="I10" s="1">
        <v>0.95830000000000004</v>
      </c>
      <c r="J10" s="1">
        <v>0.875</v>
      </c>
      <c r="K10" s="1">
        <v>0.79169999999999996</v>
      </c>
      <c r="L10" s="1">
        <v>0.79169999999999996</v>
      </c>
      <c r="M10" s="1">
        <v>0.875</v>
      </c>
      <c r="N10" s="1">
        <v>0.79169999999999996</v>
      </c>
      <c r="O10" s="1">
        <v>0.79169999999999996</v>
      </c>
      <c r="P10" s="1">
        <v>0.83330000000000004</v>
      </c>
      <c r="T10" t="s">
        <v>14</v>
      </c>
      <c r="U10">
        <f t="shared" si="2"/>
        <v>-1</v>
      </c>
      <c r="V10">
        <f t="shared" si="0"/>
        <v>-1</v>
      </c>
      <c r="W10">
        <f t="shared" si="0"/>
        <v>0</v>
      </c>
      <c r="X10">
        <f t="shared" si="0"/>
        <v>1</v>
      </c>
      <c r="Y10">
        <f t="shared" si="0"/>
        <v>1</v>
      </c>
      <c r="Z10">
        <f t="shared" si="0"/>
        <v>-1</v>
      </c>
      <c r="AA10">
        <f t="shared" si="0"/>
        <v>-1</v>
      </c>
      <c r="AB10">
        <f t="shared" si="0"/>
        <v>-1</v>
      </c>
      <c r="AC10">
        <f t="shared" si="0"/>
        <v>-1</v>
      </c>
      <c r="AD10">
        <f t="shared" si="0"/>
        <v>-1</v>
      </c>
      <c r="AE10">
        <f t="shared" si="0"/>
        <v>-1</v>
      </c>
      <c r="AF10">
        <f t="shared" si="0"/>
        <v>-1</v>
      </c>
      <c r="AG10">
        <f t="shared" si="0"/>
        <v>-1</v>
      </c>
      <c r="AH10">
        <f t="shared" si="0"/>
        <v>-1</v>
      </c>
      <c r="AI10">
        <f t="shared" si="0"/>
        <v>-1</v>
      </c>
      <c r="AL10" t="s">
        <v>14</v>
      </c>
      <c r="AM10" t="str">
        <f t="shared" si="3"/>
        <v>S</v>
      </c>
      <c r="AN10" t="str">
        <f t="shared" si="1"/>
        <v>S</v>
      </c>
      <c r="AO10" t="str">
        <f t="shared" si="1"/>
        <v>S</v>
      </c>
      <c r="AP10" t="str">
        <f t="shared" si="1"/>
        <v>S</v>
      </c>
      <c r="AQ10" t="str">
        <f t="shared" si="1"/>
        <v>S</v>
      </c>
      <c r="AR10" t="str">
        <f t="shared" si="1"/>
        <v>S</v>
      </c>
      <c r="AS10" t="str">
        <f t="shared" si="1"/>
        <v>S</v>
      </c>
      <c r="AT10" t="str">
        <f t="shared" si="1"/>
        <v>S</v>
      </c>
      <c r="AU10" t="str">
        <f t="shared" si="1"/>
        <v>S</v>
      </c>
      <c r="AV10" t="str">
        <f t="shared" si="1"/>
        <v>S</v>
      </c>
      <c r="AW10" t="str">
        <f t="shared" si="1"/>
        <v>S</v>
      </c>
      <c r="AX10" t="str">
        <f t="shared" si="1"/>
        <v>S</v>
      </c>
      <c r="AY10" t="str">
        <f t="shared" si="1"/>
        <v>S</v>
      </c>
      <c r="AZ10" t="str">
        <f t="shared" si="1"/>
        <v>S</v>
      </c>
      <c r="BA10" t="str">
        <f t="shared" si="1"/>
        <v>S</v>
      </c>
    </row>
    <row r="11" spans="1:53" x14ac:dyDescent="0.35">
      <c r="A11" t="s">
        <v>27</v>
      </c>
      <c r="B11" s="1">
        <v>0.95830000000000004</v>
      </c>
      <c r="C11" s="1">
        <v>0.875</v>
      </c>
      <c r="D11" s="1">
        <v>0.375</v>
      </c>
      <c r="E11" s="1">
        <v>0.125</v>
      </c>
      <c r="F11" s="1">
        <v>0.41670000000000001</v>
      </c>
      <c r="G11" s="1">
        <v>0.95830000000000004</v>
      </c>
      <c r="H11" s="1">
        <v>0.875</v>
      </c>
      <c r="I11" s="1">
        <v>0.91659999999999997</v>
      </c>
      <c r="J11" s="1">
        <v>0.66659999999999997</v>
      </c>
      <c r="K11" s="1">
        <v>0.70830000000000004</v>
      </c>
      <c r="L11" s="1">
        <v>0.79169999999999996</v>
      </c>
      <c r="M11" s="1">
        <v>0.875</v>
      </c>
      <c r="N11" s="1">
        <v>0.79169999999999996</v>
      </c>
      <c r="O11" s="1">
        <v>0.75</v>
      </c>
      <c r="P11" s="1">
        <v>0.83330000000000004</v>
      </c>
      <c r="T11" t="s">
        <v>27</v>
      </c>
      <c r="U11">
        <f t="shared" si="2"/>
        <v>-1</v>
      </c>
      <c r="V11">
        <f t="shared" si="0"/>
        <v>-1</v>
      </c>
      <c r="W11">
        <f t="shared" si="0"/>
        <v>0</v>
      </c>
      <c r="X11">
        <f t="shared" si="0"/>
        <v>1</v>
      </c>
      <c r="Y11">
        <f t="shared" si="0"/>
        <v>0</v>
      </c>
      <c r="Z11">
        <f t="shared" si="0"/>
        <v>-1</v>
      </c>
      <c r="AA11">
        <f t="shared" si="0"/>
        <v>-1</v>
      </c>
      <c r="AB11">
        <f t="shared" si="0"/>
        <v>-1</v>
      </c>
      <c r="AC11">
        <f t="shared" si="0"/>
        <v>-1</v>
      </c>
      <c r="AD11">
        <f t="shared" si="0"/>
        <v>-1</v>
      </c>
      <c r="AE11">
        <f t="shared" si="0"/>
        <v>-1</v>
      </c>
      <c r="AF11">
        <f t="shared" si="0"/>
        <v>-1</v>
      </c>
      <c r="AG11">
        <f t="shared" si="0"/>
        <v>-1</v>
      </c>
      <c r="AH11">
        <f t="shared" si="0"/>
        <v>-1</v>
      </c>
      <c r="AI11">
        <f t="shared" si="0"/>
        <v>-1</v>
      </c>
      <c r="AL11" t="s">
        <v>27</v>
      </c>
      <c r="AM11" t="str">
        <f t="shared" si="3"/>
        <v>S</v>
      </c>
      <c r="AN11" t="str">
        <f t="shared" si="1"/>
        <v>S</v>
      </c>
      <c r="AO11" t="str">
        <f t="shared" si="1"/>
        <v>O</v>
      </c>
      <c r="AP11" t="str">
        <f t="shared" si="1"/>
        <v>S</v>
      </c>
      <c r="AQ11" t="str">
        <f t="shared" si="1"/>
        <v>S</v>
      </c>
      <c r="AR11" t="str">
        <f t="shared" si="1"/>
        <v>S</v>
      </c>
      <c r="AS11" t="str">
        <f t="shared" si="1"/>
        <v>S</v>
      </c>
      <c r="AT11" t="str">
        <f t="shared" si="1"/>
        <v>S</v>
      </c>
      <c r="AU11" t="str">
        <f t="shared" si="1"/>
        <v>O</v>
      </c>
      <c r="AV11" t="str">
        <f t="shared" si="1"/>
        <v>O</v>
      </c>
      <c r="AW11" t="str">
        <f t="shared" si="1"/>
        <v>S</v>
      </c>
      <c r="AX11" t="str">
        <f t="shared" si="1"/>
        <v>S</v>
      </c>
      <c r="AY11" t="str">
        <f t="shared" si="1"/>
        <v>S</v>
      </c>
      <c r="AZ11" t="str">
        <f t="shared" si="1"/>
        <v>S</v>
      </c>
      <c r="BA11" t="str">
        <f t="shared" si="1"/>
        <v>S</v>
      </c>
    </row>
    <row r="12" spans="1:53" x14ac:dyDescent="0.35">
      <c r="A12" t="s">
        <v>28</v>
      </c>
      <c r="B12" s="1">
        <v>0.875</v>
      </c>
      <c r="C12" s="1">
        <v>0.95830000000000004</v>
      </c>
      <c r="D12" s="1">
        <v>0.29170000000000001</v>
      </c>
      <c r="E12" s="1">
        <v>0.125</v>
      </c>
      <c r="F12" s="1">
        <v>0.5</v>
      </c>
      <c r="G12" s="1">
        <v>0.91669999999999996</v>
      </c>
      <c r="H12" s="1">
        <v>0.875</v>
      </c>
      <c r="I12" s="1">
        <v>0.91659999999999997</v>
      </c>
      <c r="J12" s="1">
        <v>0.83340000000000003</v>
      </c>
      <c r="K12" s="1">
        <v>0.70830000000000004</v>
      </c>
      <c r="L12" s="1">
        <v>0.79169999999999996</v>
      </c>
      <c r="M12" s="1">
        <v>0.875</v>
      </c>
      <c r="N12" s="1">
        <v>0.79169999999999996</v>
      </c>
      <c r="O12" s="1">
        <v>0.70840000000000003</v>
      </c>
      <c r="P12" s="1">
        <v>0.83330000000000004</v>
      </c>
      <c r="T12" t="s">
        <v>28</v>
      </c>
      <c r="U12">
        <f t="shared" si="2"/>
        <v>-1</v>
      </c>
      <c r="V12">
        <f t="shared" si="0"/>
        <v>-1</v>
      </c>
      <c r="W12">
        <f t="shared" si="0"/>
        <v>1</v>
      </c>
      <c r="X12">
        <f t="shared" si="0"/>
        <v>1</v>
      </c>
      <c r="Y12">
        <f t="shared" si="0"/>
        <v>0</v>
      </c>
      <c r="Z12">
        <f t="shared" si="0"/>
        <v>-1</v>
      </c>
      <c r="AA12">
        <f t="shared" si="0"/>
        <v>-1</v>
      </c>
      <c r="AB12">
        <f t="shared" si="0"/>
        <v>-1</v>
      </c>
      <c r="AC12">
        <f t="shared" si="0"/>
        <v>-1</v>
      </c>
      <c r="AD12">
        <f t="shared" si="0"/>
        <v>-1</v>
      </c>
      <c r="AE12">
        <f t="shared" si="0"/>
        <v>-1</v>
      </c>
      <c r="AF12">
        <f t="shared" si="0"/>
        <v>-1</v>
      </c>
      <c r="AG12">
        <f t="shared" si="0"/>
        <v>-1</v>
      </c>
      <c r="AH12">
        <f t="shared" si="0"/>
        <v>-1</v>
      </c>
      <c r="AI12">
        <f t="shared" si="0"/>
        <v>-1</v>
      </c>
      <c r="AL12" t="s">
        <v>28</v>
      </c>
      <c r="AM12" t="str">
        <f t="shared" si="3"/>
        <v>S</v>
      </c>
      <c r="AN12" t="str">
        <f t="shared" si="1"/>
        <v>S</v>
      </c>
      <c r="AO12" t="str">
        <f t="shared" si="1"/>
        <v>S</v>
      </c>
      <c r="AP12" t="str">
        <f t="shared" si="1"/>
        <v>S</v>
      </c>
      <c r="AQ12" t="str">
        <f t="shared" si="1"/>
        <v>S</v>
      </c>
      <c r="AR12" t="str">
        <f t="shared" si="1"/>
        <v>S</v>
      </c>
      <c r="AS12" t="str">
        <f t="shared" si="1"/>
        <v>S</v>
      </c>
      <c r="AT12" t="str">
        <f t="shared" si="1"/>
        <v>S</v>
      </c>
      <c r="AU12" t="str">
        <f t="shared" si="1"/>
        <v>S</v>
      </c>
      <c r="AV12" t="str">
        <f t="shared" si="1"/>
        <v>S</v>
      </c>
      <c r="AW12" t="str">
        <f t="shared" si="1"/>
        <v>S</v>
      </c>
      <c r="AX12" t="str">
        <f t="shared" si="1"/>
        <v>S</v>
      </c>
      <c r="AY12" t="str">
        <f t="shared" si="1"/>
        <v>S</v>
      </c>
      <c r="AZ12" t="str">
        <f t="shared" si="1"/>
        <v>S</v>
      </c>
      <c r="BA12" t="str">
        <f t="shared" si="1"/>
        <v>S</v>
      </c>
    </row>
    <row r="13" spans="1:53" x14ac:dyDescent="0.35">
      <c r="A13" t="s">
        <v>29</v>
      </c>
      <c r="B13" s="1">
        <v>0.16669999999999999</v>
      </c>
      <c r="C13" s="1">
        <v>4.1700000000000001E-2</v>
      </c>
      <c r="D13" s="1">
        <v>0.375</v>
      </c>
      <c r="E13" s="1">
        <v>0.91669999999999996</v>
      </c>
      <c r="F13" s="1">
        <v>0.79169999999999996</v>
      </c>
      <c r="G13" s="1">
        <v>0.83330000000000004</v>
      </c>
      <c r="H13" s="1">
        <v>0.83340000000000003</v>
      </c>
      <c r="I13" s="1">
        <v>0.95830000000000004</v>
      </c>
      <c r="J13" s="1">
        <v>0.875</v>
      </c>
      <c r="K13" s="1">
        <v>0.79169999999999996</v>
      </c>
      <c r="L13" s="1">
        <v>0.83340000000000003</v>
      </c>
      <c r="M13" s="1">
        <v>0.83340000000000003</v>
      </c>
      <c r="N13" s="1">
        <v>0.79169999999999996</v>
      </c>
      <c r="O13" s="1">
        <v>0.79169999999999996</v>
      </c>
      <c r="P13" s="1">
        <v>0.875</v>
      </c>
      <c r="T13" t="s">
        <v>29</v>
      </c>
      <c r="U13">
        <f t="shared" si="2"/>
        <v>1</v>
      </c>
      <c r="V13">
        <f t="shared" si="0"/>
        <v>1</v>
      </c>
      <c r="W13">
        <f t="shared" si="0"/>
        <v>0</v>
      </c>
      <c r="X13">
        <f t="shared" si="0"/>
        <v>-1</v>
      </c>
      <c r="Y13">
        <f t="shared" si="0"/>
        <v>-1</v>
      </c>
      <c r="Z13">
        <f t="shared" si="0"/>
        <v>-1</v>
      </c>
      <c r="AA13">
        <f t="shared" si="0"/>
        <v>-1</v>
      </c>
      <c r="AB13">
        <f t="shared" si="0"/>
        <v>-1</v>
      </c>
      <c r="AC13">
        <f t="shared" si="0"/>
        <v>-1</v>
      </c>
      <c r="AD13">
        <f t="shared" si="0"/>
        <v>-1</v>
      </c>
      <c r="AE13">
        <f t="shared" si="0"/>
        <v>-1</v>
      </c>
      <c r="AF13">
        <f t="shared" si="0"/>
        <v>-1</v>
      </c>
      <c r="AG13">
        <f t="shared" si="0"/>
        <v>-1</v>
      </c>
      <c r="AH13">
        <f t="shared" si="0"/>
        <v>-1</v>
      </c>
      <c r="AI13">
        <f t="shared" si="0"/>
        <v>-1</v>
      </c>
      <c r="AL13" t="s">
        <v>29</v>
      </c>
      <c r="AM13" t="str">
        <f t="shared" si="3"/>
        <v>S</v>
      </c>
      <c r="AN13" t="str">
        <f t="shared" si="1"/>
        <v>S</v>
      </c>
      <c r="AO13" t="str">
        <f t="shared" si="1"/>
        <v>O</v>
      </c>
      <c r="AP13" t="str">
        <f t="shared" si="1"/>
        <v>S</v>
      </c>
      <c r="AQ13" t="str">
        <f t="shared" si="1"/>
        <v>S</v>
      </c>
      <c r="AR13" t="str">
        <f t="shared" si="1"/>
        <v>S</v>
      </c>
      <c r="AS13" t="str">
        <f t="shared" si="1"/>
        <v>S</v>
      </c>
      <c r="AT13" t="str">
        <f t="shared" si="1"/>
        <v>S</v>
      </c>
      <c r="AU13" t="str">
        <f t="shared" si="1"/>
        <v>S</v>
      </c>
      <c r="AV13" t="str">
        <f t="shared" si="1"/>
        <v>S</v>
      </c>
      <c r="AW13" t="str">
        <f t="shared" si="1"/>
        <v>S</v>
      </c>
      <c r="AX13" t="str">
        <f t="shared" si="1"/>
        <v>S</v>
      </c>
      <c r="AY13" t="str">
        <f t="shared" si="1"/>
        <v>S</v>
      </c>
      <c r="AZ13" t="str">
        <f t="shared" si="1"/>
        <v>S</v>
      </c>
      <c r="BA13" t="str">
        <f t="shared" si="1"/>
        <v>S</v>
      </c>
    </row>
    <row r="14" spans="1:53" x14ac:dyDescent="0.35">
      <c r="A14" t="s">
        <v>15</v>
      </c>
      <c r="B14" s="1">
        <v>8.3299999999999999E-2</v>
      </c>
      <c r="C14" s="1">
        <v>0.125</v>
      </c>
      <c r="D14" s="1">
        <v>0.75</v>
      </c>
      <c r="E14" s="1">
        <v>0.91669999999999996</v>
      </c>
      <c r="F14" s="1">
        <v>0.91659999999999997</v>
      </c>
      <c r="G14" s="1">
        <v>0.83340000000000003</v>
      </c>
      <c r="H14" s="1">
        <v>0.875</v>
      </c>
      <c r="I14" s="1">
        <v>0.95830000000000004</v>
      </c>
      <c r="J14" s="1">
        <v>0.91659999999999997</v>
      </c>
      <c r="K14" s="1">
        <v>0.79169999999999996</v>
      </c>
      <c r="L14" s="1">
        <v>0.83340000000000003</v>
      </c>
      <c r="M14" s="1">
        <v>0.83340000000000003</v>
      </c>
      <c r="N14" s="1">
        <v>0.79169999999999996</v>
      </c>
      <c r="O14" s="1">
        <v>0.79169999999999996</v>
      </c>
      <c r="P14" s="1">
        <v>0.875</v>
      </c>
      <c r="T14" t="s">
        <v>15</v>
      </c>
      <c r="U14">
        <f t="shared" si="2"/>
        <v>1</v>
      </c>
      <c r="V14">
        <f t="shared" si="0"/>
        <v>1</v>
      </c>
      <c r="W14">
        <f t="shared" si="0"/>
        <v>-1</v>
      </c>
      <c r="X14">
        <f t="shared" si="0"/>
        <v>-1</v>
      </c>
      <c r="Y14">
        <f t="shared" si="0"/>
        <v>-1</v>
      </c>
      <c r="Z14">
        <f t="shared" si="0"/>
        <v>-1</v>
      </c>
      <c r="AA14">
        <f t="shared" si="0"/>
        <v>-1</v>
      </c>
      <c r="AB14">
        <f t="shared" si="0"/>
        <v>-1</v>
      </c>
      <c r="AC14">
        <f t="shared" si="0"/>
        <v>-1</v>
      </c>
      <c r="AD14">
        <f t="shared" si="0"/>
        <v>-1</v>
      </c>
      <c r="AE14">
        <f t="shared" si="0"/>
        <v>-1</v>
      </c>
      <c r="AF14">
        <f t="shared" si="0"/>
        <v>-1</v>
      </c>
      <c r="AG14">
        <f t="shared" si="0"/>
        <v>-1</v>
      </c>
      <c r="AH14">
        <f t="shared" si="0"/>
        <v>-1</v>
      </c>
      <c r="AI14">
        <f t="shared" si="0"/>
        <v>-1</v>
      </c>
      <c r="AL14" t="s">
        <v>15</v>
      </c>
      <c r="AM14" t="str">
        <f t="shared" si="3"/>
        <v>S</v>
      </c>
      <c r="AN14" t="str">
        <f t="shared" si="1"/>
        <v>S</v>
      </c>
      <c r="AO14" t="str">
        <f t="shared" si="1"/>
        <v>S</v>
      </c>
      <c r="AP14" t="str">
        <f t="shared" si="1"/>
        <v>S</v>
      </c>
      <c r="AQ14" t="str">
        <f t="shared" si="1"/>
        <v>S</v>
      </c>
      <c r="AR14" t="str">
        <f t="shared" si="1"/>
        <v>S</v>
      </c>
      <c r="AS14" t="str">
        <f t="shared" si="1"/>
        <v>S</v>
      </c>
      <c r="AT14" t="str">
        <f t="shared" si="1"/>
        <v>S</v>
      </c>
      <c r="AU14" t="str">
        <f t="shared" si="1"/>
        <v>S</v>
      </c>
      <c r="AV14" t="str">
        <f t="shared" si="1"/>
        <v>S</v>
      </c>
      <c r="AW14" t="str">
        <f t="shared" si="1"/>
        <v>S</v>
      </c>
      <c r="AX14" t="str">
        <f t="shared" si="1"/>
        <v>S</v>
      </c>
      <c r="AY14" t="str">
        <f t="shared" si="1"/>
        <v>S</v>
      </c>
      <c r="AZ14" t="str">
        <f t="shared" si="1"/>
        <v>S</v>
      </c>
      <c r="BA14" t="str">
        <f t="shared" si="1"/>
        <v>S</v>
      </c>
    </row>
    <row r="15" spans="1:53" x14ac:dyDescent="0.35">
      <c r="A15" t="s">
        <v>30</v>
      </c>
      <c r="B15" s="1">
        <v>0.58340000000000003</v>
      </c>
      <c r="C15" s="1">
        <v>8.3299999999999999E-2</v>
      </c>
      <c r="D15" s="1">
        <v>0.70830000000000004</v>
      </c>
      <c r="E15" s="1">
        <v>0.91669999999999996</v>
      </c>
      <c r="F15" s="1">
        <v>0.91659999999999997</v>
      </c>
      <c r="G15" s="1">
        <v>0.95830000000000004</v>
      </c>
      <c r="H15" s="1">
        <v>0.875</v>
      </c>
      <c r="I15" s="1">
        <v>0.95830000000000004</v>
      </c>
      <c r="J15" s="1">
        <v>0.91659999999999997</v>
      </c>
      <c r="K15" s="1">
        <v>0.79169999999999996</v>
      </c>
      <c r="L15" s="1">
        <v>0.83340000000000003</v>
      </c>
      <c r="M15" s="1">
        <v>0.83340000000000003</v>
      </c>
      <c r="N15" s="1">
        <v>0.79169999999999996</v>
      </c>
      <c r="O15" s="1">
        <v>0.79169999999999996</v>
      </c>
      <c r="P15" s="1">
        <v>0.875</v>
      </c>
      <c r="T15" t="s">
        <v>30</v>
      </c>
      <c r="U15">
        <f t="shared" si="2"/>
        <v>0</v>
      </c>
      <c r="V15">
        <f t="shared" si="0"/>
        <v>1</v>
      </c>
      <c r="W15">
        <f t="shared" si="0"/>
        <v>-1</v>
      </c>
      <c r="X15">
        <f t="shared" si="0"/>
        <v>-1</v>
      </c>
      <c r="Y15">
        <f t="shared" si="0"/>
        <v>-1</v>
      </c>
      <c r="Z15">
        <f t="shared" si="0"/>
        <v>-1</v>
      </c>
      <c r="AA15">
        <f t="shared" si="0"/>
        <v>-1</v>
      </c>
      <c r="AB15">
        <f t="shared" si="0"/>
        <v>-1</v>
      </c>
      <c r="AC15">
        <f t="shared" si="0"/>
        <v>-1</v>
      </c>
      <c r="AD15">
        <f t="shared" si="0"/>
        <v>-1</v>
      </c>
      <c r="AE15">
        <f t="shared" si="0"/>
        <v>-1</v>
      </c>
      <c r="AF15">
        <f t="shared" si="0"/>
        <v>-1</v>
      </c>
      <c r="AG15">
        <f t="shared" si="0"/>
        <v>-1</v>
      </c>
      <c r="AH15">
        <f t="shared" si="0"/>
        <v>-1</v>
      </c>
      <c r="AI15">
        <f t="shared" si="0"/>
        <v>-1</v>
      </c>
      <c r="AL15" t="s">
        <v>30</v>
      </c>
      <c r="AM15" t="str">
        <f t="shared" si="3"/>
        <v>S</v>
      </c>
      <c r="AN15" t="str">
        <f t="shared" si="1"/>
        <v>S</v>
      </c>
      <c r="AO15" t="str">
        <f t="shared" si="1"/>
        <v>S</v>
      </c>
      <c r="AP15" t="str">
        <f t="shared" si="1"/>
        <v>S</v>
      </c>
      <c r="AQ15" t="str">
        <f t="shared" si="1"/>
        <v>S</v>
      </c>
      <c r="AR15" t="str">
        <f t="shared" si="1"/>
        <v>S</v>
      </c>
      <c r="AS15" t="str">
        <f t="shared" si="1"/>
        <v>S</v>
      </c>
      <c r="AT15" t="str">
        <f t="shared" si="1"/>
        <v>S</v>
      </c>
      <c r="AU15" t="str">
        <f t="shared" si="1"/>
        <v>S</v>
      </c>
      <c r="AV15" t="str">
        <f t="shared" si="1"/>
        <v>S</v>
      </c>
      <c r="AW15" t="str">
        <f t="shared" si="1"/>
        <v>S</v>
      </c>
      <c r="AX15" t="str">
        <f t="shared" si="1"/>
        <v>S</v>
      </c>
      <c r="AY15" t="str">
        <f t="shared" si="1"/>
        <v>S</v>
      </c>
      <c r="AZ15" t="str">
        <f t="shared" si="1"/>
        <v>S</v>
      </c>
      <c r="BA15" t="str">
        <f t="shared" si="1"/>
        <v>S</v>
      </c>
    </row>
    <row r="16" spans="1:53" x14ac:dyDescent="0.35">
      <c r="A16" t="s">
        <v>31</v>
      </c>
      <c r="B16" s="1">
        <v>0.5</v>
      </c>
      <c r="C16" s="1">
        <v>0.16669999999999999</v>
      </c>
      <c r="D16" s="1">
        <v>0.20830000000000001</v>
      </c>
      <c r="E16" s="1">
        <v>0.625</v>
      </c>
      <c r="F16" s="1">
        <v>0.45839999999999997</v>
      </c>
      <c r="G16" s="1">
        <v>0.20830000000000001</v>
      </c>
      <c r="H16" s="1">
        <v>0.375</v>
      </c>
      <c r="I16" s="1">
        <v>0.54169999999999996</v>
      </c>
      <c r="J16" s="1">
        <v>0.83340000000000003</v>
      </c>
      <c r="K16" s="1">
        <v>0.70840000000000003</v>
      </c>
      <c r="L16" s="1">
        <v>0.79169999999999996</v>
      </c>
      <c r="M16" s="1">
        <v>0.83340000000000003</v>
      </c>
      <c r="N16" s="1">
        <v>0.79169999999999996</v>
      </c>
      <c r="O16" s="1">
        <v>0.70840000000000003</v>
      </c>
      <c r="P16" s="1">
        <v>0.79159999999999997</v>
      </c>
      <c r="T16" t="s">
        <v>31</v>
      </c>
      <c r="U16">
        <f t="shared" si="2"/>
        <v>0</v>
      </c>
      <c r="V16">
        <f t="shared" si="0"/>
        <v>1</v>
      </c>
      <c r="W16">
        <f t="shared" si="0"/>
        <v>1</v>
      </c>
      <c r="X16">
        <f t="shared" si="0"/>
        <v>0</v>
      </c>
      <c r="Y16">
        <f t="shared" si="0"/>
        <v>0</v>
      </c>
      <c r="Z16">
        <f t="shared" si="0"/>
        <v>1</v>
      </c>
      <c r="AA16">
        <f t="shared" si="0"/>
        <v>0</v>
      </c>
      <c r="AB16">
        <f t="shared" si="0"/>
        <v>0</v>
      </c>
      <c r="AC16">
        <f t="shared" si="0"/>
        <v>-1</v>
      </c>
      <c r="AD16">
        <f t="shared" si="0"/>
        <v>-1</v>
      </c>
      <c r="AE16">
        <f t="shared" si="0"/>
        <v>-1</v>
      </c>
      <c r="AF16">
        <f t="shared" si="0"/>
        <v>-1</v>
      </c>
      <c r="AG16">
        <f t="shared" si="0"/>
        <v>-1</v>
      </c>
      <c r="AH16">
        <f t="shared" si="0"/>
        <v>-1</v>
      </c>
      <c r="AI16">
        <f t="shared" si="0"/>
        <v>-1</v>
      </c>
      <c r="AL16" t="s">
        <v>31</v>
      </c>
      <c r="AM16" t="str">
        <f t="shared" si="3"/>
        <v>S</v>
      </c>
      <c r="AN16" t="str">
        <f t="shared" si="1"/>
        <v>S</v>
      </c>
      <c r="AO16" t="str">
        <f t="shared" si="1"/>
        <v>S</v>
      </c>
      <c r="AP16" t="str">
        <f t="shared" si="1"/>
        <v>S</v>
      </c>
      <c r="AQ16" t="str">
        <f t="shared" si="1"/>
        <v>O</v>
      </c>
      <c r="AR16" t="str">
        <f t="shared" si="1"/>
        <v>S</v>
      </c>
      <c r="AS16" t="str">
        <f t="shared" si="1"/>
        <v>O</v>
      </c>
      <c r="AT16" t="str">
        <f t="shared" si="1"/>
        <v>O</v>
      </c>
      <c r="AU16" t="str">
        <f t="shared" si="1"/>
        <v>S</v>
      </c>
      <c r="AV16" t="str">
        <f t="shared" si="1"/>
        <v>O</v>
      </c>
      <c r="AW16" t="str">
        <f t="shared" si="1"/>
        <v>S</v>
      </c>
      <c r="AX16" t="str">
        <f t="shared" si="1"/>
        <v>S</v>
      </c>
      <c r="AY16" t="str">
        <f t="shared" si="1"/>
        <v>S</v>
      </c>
      <c r="AZ16" t="str">
        <f t="shared" si="1"/>
        <v>S</v>
      </c>
      <c r="BA16" t="str">
        <f t="shared" si="1"/>
        <v>S</v>
      </c>
    </row>
    <row r="19" spans="1:53" x14ac:dyDescent="0.35">
      <c r="A19" s="2" t="s">
        <v>18</v>
      </c>
      <c r="T19" s="2" t="s">
        <v>32</v>
      </c>
    </row>
    <row r="20" spans="1:53" x14ac:dyDescent="0.35">
      <c r="B20" t="s">
        <v>0</v>
      </c>
      <c r="C20" t="s">
        <v>1</v>
      </c>
      <c r="D20" t="s">
        <v>2</v>
      </c>
      <c r="E20" t="s">
        <v>3</v>
      </c>
      <c r="F20" t="s">
        <v>4</v>
      </c>
      <c r="G20" t="s">
        <v>5</v>
      </c>
      <c r="H20" t="s">
        <v>20</v>
      </c>
      <c r="I20" t="s">
        <v>6</v>
      </c>
      <c r="J20" t="s">
        <v>7</v>
      </c>
      <c r="K20" t="s">
        <v>8</v>
      </c>
      <c r="L20" t="s">
        <v>9</v>
      </c>
      <c r="M20" t="s">
        <v>10</v>
      </c>
      <c r="N20" t="s">
        <v>11</v>
      </c>
      <c r="O20" t="s">
        <v>12</v>
      </c>
      <c r="P20" t="s">
        <v>13</v>
      </c>
      <c r="U20" t="s">
        <v>0</v>
      </c>
      <c r="V20" t="s">
        <v>1</v>
      </c>
      <c r="W20" t="s">
        <v>2</v>
      </c>
      <c r="X20" t="s">
        <v>3</v>
      </c>
      <c r="Y20" t="s">
        <v>4</v>
      </c>
      <c r="Z20" t="s">
        <v>5</v>
      </c>
      <c r="AA20" t="s">
        <v>20</v>
      </c>
      <c r="AB20" t="s">
        <v>6</v>
      </c>
      <c r="AC20" t="s">
        <v>7</v>
      </c>
      <c r="AD20" t="s">
        <v>8</v>
      </c>
      <c r="AE20" t="s">
        <v>9</v>
      </c>
      <c r="AF20" t="s">
        <v>10</v>
      </c>
      <c r="AG20" t="s">
        <v>11</v>
      </c>
      <c r="AH20" t="s">
        <v>12</v>
      </c>
      <c r="AI20" t="s">
        <v>13</v>
      </c>
      <c r="AM20" s="7" t="s">
        <v>0</v>
      </c>
      <c r="AN20" s="7" t="s">
        <v>1</v>
      </c>
      <c r="AO20" s="7" t="s">
        <v>2</v>
      </c>
      <c r="AP20" s="7" t="s">
        <v>3</v>
      </c>
      <c r="AQ20" s="7" t="s">
        <v>4</v>
      </c>
      <c r="AR20" s="7" t="s">
        <v>5</v>
      </c>
      <c r="AS20" s="7" t="s">
        <v>20</v>
      </c>
      <c r="AT20" s="7" t="s">
        <v>6</v>
      </c>
      <c r="AU20" s="7" t="s">
        <v>7</v>
      </c>
      <c r="AV20" s="7" t="s">
        <v>8</v>
      </c>
      <c r="AW20" s="7" t="s">
        <v>9</v>
      </c>
      <c r="AX20" s="7" t="s">
        <v>10</v>
      </c>
      <c r="AY20" s="7" t="s">
        <v>11</v>
      </c>
      <c r="AZ20" s="7" t="s">
        <v>12</v>
      </c>
      <c r="BA20" s="7" t="s">
        <v>13</v>
      </c>
    </row>
    <row r="21" spans="1:53" x14ac:dyDescent="0.35">
      <c r="A21" t="s">
        <v>21</v>
      </c>
      <c r="B21" s="1">
        <v>0.2084</v>
      </c>
      <c r="C21" s="1">
        <v>0.29160000000000003</v>
      </c>
      <c r="D21" s="1">
        <v>0.70830000000000004</v>
      </c>
      <c r="E21" s="1">
        <v>0.41670000000000001</v>
      </c>
      <c r="F21" s="1">
        <v>0.45829999999999999</v>
      </c>
      <c r="G21" s="1">
        <v>0.625</v>
      </c>
      <c r="H21" s="1">
        <v>0.375</v>
      </c>
      <c r="I21" s="1">
        <v>0.41660000000000003</v>
      </c>
      <c r="J21" s="1">
        <v>0.625</v>
      </c>
      <c r="K21" s="1">
        <v>0.54159999999999997</v>
      </c>
      <c r="L21" s="1">
        <v>0.25</v>
      </c>
      <c r="M21" s="1">
        <v>0.375</v>
      </c>
      <c r="N21" s="1">
        <v>0.16669999999999999</v>
      </c>
      <c r="O21" s="1">
        <v>0.16669999999999999</v>
      </c>
      <c r="P21" s="1">
        <v>0.54169999999999996</v>
      </c>
      <c r="T21" t="s">
        <v>21</v>
      </c>
      <c r="AA21">
        <v>1</v>
      </c>
      <c r="AG21">
        <v>1</v>
      </c>
      <c r="AH21">
        <v>-1</v>
      </c>
      <c r="AL21" s="7" t="s">
        <v>21</v>
      </c>
      <c r="AM21" t="str">
        <f>_xlfn.CONCAT(TEXT(B3, "00%"), " ", TEXT(B21, "00%"), " ", TEXT(B39, "00%"))</f>
        <v>25% 21% 67%</v>
      </c>
      <c r="AN21" t="str">
        <f t="shared" ref="AN21:BA34" si="4">_xlfn.CONCAT(TEXT(C3, "00%"), " ", TEXT(C21, "00%"), " ", TEXT(C39, "00%"))</f>
        <v>33% 29% 33%</v>
      </c>
      <c r="AO21" t="str">
        <f t="shared" si="4"/>
        <v>00% 71% 100%</v>
      </c>
      <c r="AP21" t="str">
        <f t="shared" si="4"/>
        <v>38% 42% 33%</v>
      </c>
      <c r="AQ21" t="str">
        <f t="shared" si="4"/>
        <v>25% 46% 67%</v>
      </c>
      <c r="AR21" t="str">
        <f t="shared" si="4"/>
        <v>08% 63% 33%</v>
      </c>
      <c r="AS21" s="3" t="str">
        <f t="shared" si="4"/>
        <v>38% 38% 33%</v>
      </c>
      <c r="AT21" t="str">
        <f t="shared" si="4"/>
        <v>17% 42% 67%</v>
      </c>
      <c r="AU21" t="str">
        <f t="shared" si="4"/>
        <v>08% 63% 100%</v>
      </c>
      <c r="AV21" t="str">
        <f t="shared" si="4"/>
        <v>21% 54% 67%</v>
      </c>
      <c r="AW21" t="str">
        <f t="shared" si="4"/>
        <v>67% 25% 67%</v>
      </c>
      <c r="AX21" t="str">
        <f t="shared" si="4"/>
        <v>50% 38% 33%</v>
      </c>
      <c r="AY21" s="3" t="str">
        <f t="shared" si="4"/>
        <v>54% 17% 00%</v>
      </c>
      <c r="AZ21" s="4" t="str">
        <f t="shared" si="4"/>
        <v>63% 17% 33%</v>
      </c>
      <c r="BA21" t="str">
        <f t="shared" si="4"/>
        <v>21% 54% 33%</v>
      </c>
    </row>
    <row r="22" spans="1:53" x14ac:dyDescent="0.35">
      <c r="A22" t="s">
        <v>22</v>
      </c>
      <c r="B22" s="1">
        <v>8.3400000000000002E-2</v>
      </c>
      <c r="C22" s="1">
        <v>8.3299999999999999E-2</v>
      </c>
      <c r="D22" s="1">
        <v>0.58340000000000003</v>
      </c>
      <c r="E22" s="1">
        <v>0.375</v>
      </c>
      <c r="F22" s="1">
        <v>4.1700000000000001E-2</v>
      </c>
      <c r="G22" s="1">
        <v>8.3299999999999999E-2</v>
      </c>
      <c r="H22" s="1">
        <v>0.125</v>
      </c>
      <c r="I22" s="1">
        <v>0.66669999999999996</v>
      </c>
      <c r="J22" s="1">
        <v>8.3400000000000002E-2</v>
      </c>
      <c r="K22" s="1">
        <v>4.1700000000000001E-2</v>
      </c>
      <c r="L22" s="1">
        <v>0</v>
      </c>
      <c r="M22" s="1">
        <v>0</v>
      </c>
      <c r="N22" s="1">
        <v>0</v>
      </c>
      <c r="O22" s="1">
        <v>0</v>
      </c>
      <c r="P22" s="1">
        <v>8.3400000000000002E-2</v>
      </c>
      <c r="T22" t="s">
        <v>22</v>
      </c>
      <c r="AB22">
        <v>1</v>
      </c>
      <c r="AL22" s="7" t="s">
        <v>22</v>
      </c>
      <c r="AM22" t="str">
        <f t="shared" ref="AM22:AM34" si="5">_xlfn.CONCAT(TEXT(B4, "00%"), " ", TEXT(B22, "00%"), " ", TEXT(B40, "00%"))</f>
        <v>83% 08% 00%</v>
      </c>
      <c r="AN22" t="str">
        <f t="shared" si="4"/>
        <v>83% 08% 00%</v>
      </c>
      <c r="AO22" t="str">
        <f t="shared" si="4"/>
        <v>08% 58% 33%</v>
      </c>
      <c r="AP22" t="str">
        <f t="shared" si="4"/>
        <v>50% 38% 00%</v>
      </c>
      <c r="AQ22" t="str">
        <f t="shared" si="4"/>
        <v>75% 04% 00%</v>
      </c>
      <c r="AR22" t="str">
        <f t="shared" si="4"/>
        <v>83% 08% 00%</v>
      </c>
      <c r="AS22" t="str">
        <f t="shared" si="4"/>
        <v>67% 13% 00%</v>
      </c>
      <c r="AT22" s="5" t="str">
        <f t="shared" si="4"/>
        <v>08% 67% 100%</v>
      </c>
      <c r="AU22" t="str">
        <f t="shared" si="4"/>
        <v>67% 08% 00%</v>
      </c>
      <c r="AV22" t="str">
        <f t="shared" si="4"/>
        <v>67% 04% 00%</v>
      </c>
      <c r="AW22" t="str">
        <f t="shared" si="4"/>
        <v>79% 00% 00%</v>
      </c>
      <c r="AX22" t="str">
        <f t="shared" si="4"/>
        <v>83% 00% 00%</v>
      </c>
      <c r="AY22" t="str">
        <f t="shared" si="4"/>
        <v>79% 00% 00%</v>
      </c>
      <c r="AZ22" t="str">
        <f t="shared" si="4"/>
        <v>79% 00% 00%</v>
      </c>
      <c r="BA22" t="str">
        <f t="shared" si="4"/>
        <v>79% 08% 00%</v>
      </c>
    </row>
    <row r="23" spans="1:53" x14ac:dyDescent="0.35">
      <c r="A23" t="s">
        <v>23</v>
      </c>
      <c r="B23" s="1">
        <v>0.16669999999999999</v>
      </c>
      <c r="C23" s="1">
        <v>8.3299999999999999E-2</v>
      </c>
      <c r="D23" s="1">
        <v>0.58340000000000003</v>
      </c>
      <c r="E23" s="1">
        <v>0.125</v>
      </c>
      <c r="F23" s="1">
        <v>8.3299999999999999E-2</v>
      </c>
      <c r="G23" s="1">
        <v>8.3299999999999999E-2</v>
      </c>
      <c r="H23" s="1">
        <v>4.1700000000000001E-2</v>
      </c>
      <c r="I23" s="1">
        <v>4.1700000000000001E-2</v>
      </c>
      <c r="J23" s="1">
        <v>8.3400000000000002E-2</v>
      </c>
      <c r="K23" s="1">
        <v>4.1700000000000001E-2</v>
      </c>
      <c r="L23" s="1">
        <v>4.1700000000000001E-2</v>
      </c>
      <c r="M23" s="1">
        <v>0.125</v>
      </c>
      <c r="N23" s="1">
        <v>0</v>
      </c>
      <c r="O23" s="1">
        <v>4.1700000000000001E-2</v>
      </c>
      <c r="P23" s="1">
        <v>8.3400000000000002E-2</v>
      </c>
      <c r="T23" t="s">
        <v>23</v>
      </c>
      <c r="AH23">
        <v>-1</v>
      </c>
      <c r="AL23" s="7" t="s">
        <v>23</v>
      </c>
      <c r="AM23" t="str">
        <f t="shared" si="5"/>
        <v>71% 17% 00%</v>
      </c>
      <c r="AN23" t="str">
        <f t="shared" si="4"/>
        <v>67% 08% 00%</v>
      </c>
      <c r="AO23" t="str">
        <f t="shared" si="4"/>
        <v>13% 58% 33%</v>
      </c>
      <c r="AP23" t="str">
        <f t="shared" si="4"/>
        <v>75% 13% 00%</v>
      </c>
      <c r="AQ23" t="str">
        <f t="shared" si="4"/>
        <v>71% 08% 33%</v>
      </c>
      <c r="AR23" t="str">
        <f t="shared" si="4"/>
        <v>88% 08% 00%</v>
      </c>
      <c r="AS23" t="str">
        <f t="shared" si="4"/>
        <v>79% 04% 00%</v>
      </c>
      <c r="AT23" t="str">
        <f t="shared" si="4"/>
        <v>92% 04% 00%</v>
      </c>
      <c r="AU23" t="str">
        <f t="shared" si="4"/>
        <v>71% 08% 00%</v>
      </c>
      <c r="AV23" t="str">
        <f t="shared" si="4"/>
        <v>75% 04% 00%</v>
      </c>
      <c r="AW23" t="str">
        <f t="shared" si="4"/>
        <v>79% 04% 00%</v>
      </c>
      <c r="AX23" t="str">
        <f t="shared" si="4"/>
        <v>75% 13% 00%</v>
      </c>
      <c r="AY23" t="str">
        <f t="shared" si="4"/>
        <v>75% 00% 00%</v>
      </c>
      <c r="AZ23" s="4" t="str">
        <f t="shared" si="4"/>
        <v>75% 04% 00%</v>
      </c>
      <c r="BA23" t="str">
        <f t="shared" si="4"/>
        <v>83% 08% 00%</v>
      </c>
    </row>
    <row r="24" spans="1:53" x14ac:dyDescent="0.35">
      <c r="A24" t="s">
        <v>24</v>
      </c>
      <c r="B24" s="1">
        <v>8.3299999999999999E-2</v>
      </c>
      <c r="C24" s="1">
        <v>8.3299999999999999E-2</v>
      </c>
      <c r="D24" s="1">
        <v>0.5</v>
      </c>
      <c r="E24" s="1">
        <v>4.1700000000000001E-2</v>
      </c>
      <c r="F24" s="1">
        <v>4.1700000000000001E-2</v>
      </c>
      <c r="G24" s="1">
        <v>4.1700000000000001E-2</v>
      </c>
      <c r="H24" s="1">
        <v>0</v>
      </c>
      <c r="I24" s="1">
        <v>0</v>
      </c>
      <c r="J24" s="1">
        <v>0.20830000000000001</v>
      </c>
      <c r="K24" s="1">
        <v>0.125</v>
      </c>
      <c r="L24" s="1">
        <v>0</v>
      </c>
      <c r="M24" s="1">
        <v>0</v>
      </c>
      <c r="N24" s="1">
        <v>0</v>
      </c>
      <c r="O24" s="1">
        <v>0</v>
      </c>
      <c r="P24" s="1">
        <v>8.3400000000000002E-2</v>
      </c>
      <c r="T24" t="s">
        <v>24</v>
      </c>
      <c r="W24">
        <v>1</v>
      </c>
      <c r="AL24" s="7" t="s">
        <v>24</v>
      </c>
      <c r="AM24" t="str">
        <f t="shared" si="5"/>
        <v>88% 08% 00%</v>
      </c>
      <c r="AN24" t="str">
        <f t="shared" si="4"/>
        <v>83% 08% 00%</v>
      </c>
      <c r="AO24" s="5" t="str">
        <f t="shared" si="4"/>
        <v>13% 50% 33%</v>
      </c>
      <c r="AP24" t="str">
        <f t="shared" si="4"/>
        <v>79% 04% 00%</v>
      </c>
      <c r="AQ24" t="str">
        <f t="shared" si="4"/>
        <v>79% 04% 00%</v>
      </c>
      <c r="AR24" t="str">
        <f t="shared" si="4"/>
        <v>88% 04% 00%</v>
      </c>
      <c r="AS24" t="str">
        <f t="shared" si="4"/>
        <v>88% 00% 00%</v>
      </c>
      <c r="AT24" t="str">
        <f t="shared" si="4"/>
        <v>96% 00% 00%</v>
      </c>
      <c r="AU24" t="str">
        <f t="shared" si="4"/>
        <v>54% 21% 00%</v>
      </c>
      <c r="AV24" t="str">
        <f t="shared" si="4"/>
        <v>67% 13% 00%</v>
      </c>
      <c r="AW24" t="str">
        <f t="shared" si="4"/>
        <v>79% 00% 00%</v>
      </c>
      <c r="AX24" t="str">
        <f t="shared" si="4"/>
        <v>83% 00% 00%</v>
      </c>
      <c r="AY24" t="str">
        <f t="shared" si="4"/>
        <v>79% 00% 00%</v>
      </c>
      <c r="AZ24" t="str">
        <f t="shared" si="4"/>
        <v>79% 00% 00%</v>
      </c>
      <c r="BA24" t="str">
        <f t="shared" si="4"/>
        <v>79% 08% 00%</v>
      </c>
    </row>
    <row r="25" spans="1:53" x14ac:dyDescent="0.35">
      <c r="A25" t="s">
        <v>16</v>
      </c>
      <c r="B25" s="1">
        <v>4.1700000000000001E-2</v>
      </c>
      <c r="C25" s="1">
        <v>0</v>
      </c>
      <c r="D25" s="1">
        <v>0.45829999999999999</v>
      </c>
      <c r="E25" s="1">
        <v>0.33329999999999999</v>
      </c>
      <c r="F25" s="1">
        <v>8.3299999999999999E-2</v>
      </c>
      <c r="G25" s="1">
        <v>0.58340000000000003</v>
      </c>
      <c r="H25" s="1">
        <v>0.25</v>
      </c>
      <c r="I25" s="1">
        <v>0.25</v>
      </c>
      <c r="J25" s="1">
        <v>0.25</v>
      </c>
      <c r="K25" s="1">
        <v>0.16669999999999999</v>
      </c>
      <c r="L25" s="1">
        <v>4.1700000000000001E-2</v>
      </c>
      <c r="M25" s="1">
        <v>4.1700000000000001E-2</v>
      </c>
      <c r="N25" s="1">
        <v>0</v>
      </c>
      <c r="O25" s="1">
        <v>0</v>
      </c>
      <c r="P25" s="1">
        <v>0.1666</v>
      </c>
      <c r="T25" t="s">
        <v>16</v>
      </c>
      <c r="V25">
        <v>-1</v>
      </c>
      <c r="Z25">
        <v>1</v>
      </c>
      <c r="AC25">
        <v>-1</v>
      </c>
      <c r="AI25">
        <v>-1</v>
      </c>
      <c r="AL25" s="7" t="s">
        <v>16</v>
      </c>
      <c r="AM25" t="str">
        <f t="shared" si="5"/>
        <v>92% 04% 00%</v>
      </c>
      <c r="AN25" s="4" t="str">
        <f t="shared" si="4"/>
        <v>92% 00% 00%</v>
      </c>
      <c r="AO25" t="str">
        <f t="shared" si="4"/>
        <v>17% 46% 33%</v>
      </c>
      <c r="AP25" t="str">
        <f t="shared" si="4"/>
        <v>58% 33% 00%</v>
      </c>
      <c r="AQ25" t="str">
        <f t="shared" si="4"/>
        <v>46% 08% 33%</v>
      </c>
      <c r="AR25" s="8" t="str">
        <f t="shared" si="4"/>
        <v>25% 58% 33%</v>
      </c>
      <c r="AS25" t="str">
        <f t="shared" si="4"/>
        <v>54% 25% 33%</v>
      </c>
      <c r="AT25" t="str">
        <f t="shared" si="4"/>
        <v>75% 25% 33%</v>
      </c>
      <c r="AU25" s="6" t="str">
        <f t="shared" si="4"/>
        <v>58% 25% 33%</v>
      </c>
      <c r="AV25" t="str">
        <f t="shared" si="4"/>
        <v>50% 17% 33%</v>
      </c>
      <c r="AW25" t="str">
        <f t="shared" si="4"/>
        <v>79% 04% 00%</v>
      </c>
      <c r="AX25" t="str">
        <f t="shared" si="4"/>
        <v>83% 04% 00%</v>
      </c>
      <c r="AY25" t="str">
        <f t="shared" si="4"/>
        <v>79% 00% 00%</v>
      </c>
      <c r="AZ25" t="str">
        <f t="shared" si="4"/>
        <v>75% 00% 00%</v>
      </c>
      <c r="BA25" s="4" t="str">
        <f t="shared" si="4"/>
        <v>71% 17% 00%</v>
      </c>
    </row>
    <row r="26" spans="1:53" x14ac:dyDescent="0.35">
      <c r="A26" t="s">
        <v>25</v>
      </c>
      <c r="B26" s="1">
        <v>0.125</v>
      </c>
      <c r="C26" s="1">
        <v>0.16669999999999999</v>
      </c>
      <c r="D26" s="1">
        <v>0.29170000000000001</v>
      </c>
      <c r="E26" s="1">
        <v>0.125</v>
      </c>
      <c r="F26" s="1">
        <v>0.25</v>
      </c>
      <c r="G26" s="1">
        <v>0.25</v>
      </c>
      <c r="H26" s="1">
        <v>0.25</v>
      </c>
      <c r="I26" s="1">
        <v>0.375</v>
      </c>
      <c r="J26" s="1">
        <v>0.54169999999999996</v>
      </c>
      <c r="K26" s="1">
        <v>0.25</v>
      </c>
      <c r="L26" s="1">
        <v>0.25</v>
      </c>
      <c r="M26" s="1">
        <v>0.29170000000000001</v>
      </c>
      <c r="N26" s="1">
        <v>0</v>
      </c>
      <c r="O26" s="1">
        <v>4.1700000000000001E-2</v>
      </c>
      <c r="P26" s="1">
        <v>0.5</v>
      </c>
      <c r="T26" t="s">
        <v>25</v>
      </c>
      <c r="AL26" s="7" t="s">
        <v>25</v>
      </c>
      <c r="AM26" t="str">
        <f t="shared" si="5"/>
        <v>63% 13% 33%</v>
      </c>
      <c r="AN26" t="str">
        <f t="shared" si="4"/>
        <v>75% 17% 33%</v>
      </c>
      <c r="AO26" t="str">
        <f t="shared" si="4"/>
        <v>50% 29% 00%</v>
      </c>
      <c r="AP26" t="str">
        <f t="shared" si="4"/>
        <v>79% 13% 00%</v>
      </c>
      <c r="AQ26" t="str">
        <f t="shared" si="4"/>
        <v>63% 25% 33%</v>
      </c>
      <c r="AR26" t="str">
        <f t="shared" si="4"/>
        <v>54% 25% 33%</v>
      </c>
      <c r="AS26" t="str">
        <f t="shared" si="4"/>
        <v>67% 25% 33%</v>
      </c>
      <c r="AT26" t="str">
        <f t="shared" si="4"/>
        <v>50% 38% 33%</v>
      </c>
      <c r="AU26" t="str">
        <f t="shared" si="4"/>
        <v>13% 54% 100%</v>
      </c>
      <c r="AV26" t="str">
        <f t="shared" si="4"/>
        <v>50% 25% 67%</v>
      </c>
      <c r="AW26" t="str">
        <f t="shared" si="4"/>
        <v>54% 25% 33%</v>
      </c>
      <c r="AX26" t="str">
        <f t="shared" si="4"/>
        <v>46% 29% 33%</v>
      </c>
      <c r="AY26" t="str">
        <f t="shared" si="4"/>
        <v>79% 00% 00%</v>
      </c>
      <c r="AZ26" t="str">
        <f t="shared" si="4"/>
        <v>75% 04% 33%</v>
      </c>
      <c r="BA26" t="str">
        <f t="shared" si="4"/>
        <v>21% 50% 67%</v>
      </c>
    </row>
    <row r="27" spans="1:53" x14ac:dyDescent="0.35">
      <c r="A27" t="s">
        <v>26</v>
      </c>
      <c r="B27" s="1">
        <v>0</v>
      </c>
      <c r="C27" s="1">
        <v>0</v>
      </c>
      <c r="D27" s="1">
        <v>0.29170000000000001</v>
      </c>
      <c r="E27" s="1">
        <v>0.58330000000000004</v>
      </c>
      <c r="F27" s="1">
        <v>0.54169999999999996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4.1700000000000001E-2</v>
      </c>
      <c r="T27" t="s">
        <v>26</v>
      </c>
      <c r="Y27">
        <v>1</v>
      </c>
      <c r="AL27" s="7" t="s">
        <v>26</v>
      </c>
      <c r="AM27" t="str">
        <f t="shared" si="5"/>
        <v>92% 00% 00%</v>
      </c>
      <c r="AN27" t="str">
        <f t="shared" si="4"/>
        <v>96% 00% 00%</v>
      </c>
      <c r="AO27" t="str">
        <f t="shared" si="4"/>
        <v>54% 29% 00%</v>
      </c>
      <c r="AP27" t="str">
        <f t="shared" si="4"/>
        <v>29% 58% 00%</v>
      </c>
      <c r="AQ27" s="5" t="str">
        <f t="shared" si="4"/>
        <v>21% 54% 67%</v>
      </c>
      <c r="AR27" t="str">
        <f t="shared" si="4"/>
        <v>96% 00% 00%</v>
      </c>
      <c r="AS27" t="str">
        <f t="shared" si="4"/>
        <v>88% 00% 00%</v>
      </c>
      <c r="AT27" t="str">
        <f t="shared" si="4"/>
        <v>96% 00% 00%</v>
      </c>
      <c r="AU27" t="str">
        <f t="shared" si="4"/>
        <v>88% 00% 00%</v>
      </c>
      <c r="AV27" t="str">
        <f t="shared" si="4"/>
        <v>79% 00% 00%</v>
      </c>
      <c r="AW27" t="str">
        <f t="shared" si="4"/>
        <v>79% 00% 00%</v>
      </c>
      <c r="AX27" t="str">
        <f t="shared" si="4"/>
        <v>88% 00% 00%</v>
      </c>
      <c r="AY27" t="str">
        <f t="shared" si="4"/>
        <v>79% 00% 00%</v>
      </c>
      <c r="AZ27" t="str">
        <f t="shared" si="4"/>
        <v>79% 00% 00%</v>
      </c>
      <c r="BA27" t="str">
        <f t="shared" si="4"/>
        <v>88% 04% 00%</v>
      </c>
    </row>
    <row r="28" spans="1:53" x14ac:dyDescent="0.35">
      <c r="A28" t="s">
        <v>14</v>
      </c>
      <c r="B28" s="1">
        <v>0</v>
      </c>
      <c r="C28" s="1">
        <v>0</v>
      </c>
      <c r="D28" s="1">
        <v>0.33339999999999997</v>
      </c>
      <c r="E28" s="1">
        <v>0.79159999999999997</v>
      </c>
      <c r="F28" s="1">
        <v>0.54169999999999996</v>
      </c>
      <c r="G28" s="1">
        <v>0</v>
      </c>
      <c r="H28" s="1">
        <v>0</v>
      </c>
      <c r="I28" s="1">
        <v>0</v>
      </c>
      <c r="J28" s="1">
        <v>4.1700000000000001E-2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8.3400000000000002E-2</v>
      </c>
      <c r="T28" t="s">
        <v>14</v>
      </c>
      <c r="U28">
        <v>-1</v>
      </c>
      <c r="Y28">
        <v>1</v>
      </c>
      <c r="AA28">
        <v>-1</v>
      </c>
      <c r="AL28" s="7" t="s">
        <v>14</v>
      </c>
      <c r="AM28" s="4" t="str">
        <f t="shared" si="5"/>
        <v>96% 00% 00%</v>
      </c>
      <c r="AN28" t="str">
        <f t="shared" si="4"/>
        <v>96% 00% 00%</v>
      </c>
      <c r="AO28" t="str">
        <f t="shared" si="4"/>
        <v>42% 33% 00%</v>
      </c>
      <c r="AP28" t="str">
        <f t="shared" si="4"/>
        <v>17% 79% 33%</v>
      </c>
      <c r="AQ28" s="5" t="str">
        <f t="shared" si="4"/>
        <v>17% 54% 67%</v>
      </c>
      <c r="AR28" t="str">
        <f t="shared" si="4"/>
        <v>96% 00% 00%</v>
      </c>
      <c r="AS28" s="4" t="str">
        <f t="shared" si="4"/>
        <v>88% 00% 00%</v>
      </c>
      <c r="AT28" t="str">
        <f t="shared" si="4"/>
        <v>96% 00% 00%</v>
      </c>
      <c r="AU28" t="str">
        <f t="shared" si="4"/>
        <v>88% 04% 33%</v>
      </c>
      <c r="AV28" t="str">
        <f t="shared" si="4"/>
        <v>79% 00% 00%</v>
      </c>
      <c r="AW28" t="str">
        <f t="shared" si="4"/>
        <v>79% 00% 00%</v>
      </c>
      <c r="AX28" t="str">
        <f t="shared" si="4"/>
        <v>88% 00% 00%</v>
      </c>
      <c r="AY28" t="str">
        <f t="shared" si="4"/>
        <v>79% 00% 00%</v>
      </c>
      <c r="AZ28" t="str">
        <f t="shared" si="4"/>
        <v>79% 00% 00%</v>
      </c>
      <c r="BA28" t="str">
        <f t="shared" si="4"/>
        <v>83% 08% 00%</v>
      </c>
    </row>
    <row r="29" spans="1:53" x14ac:dyDescent="0.35">
      <c r="A29" t="s">
        <v>27</v>
      </c>
      <c r="B29" s="1">
        <v>0</v>
      </c>
      <c r="C29" s="1">
        <v>8.3299999999999999E-2</v>
      </c>
      <c r="D29" s="1">
        <v>0.33329999999999999</v>
      </c>
      <c r="E29" s="1">
        <v>0.70840000000000003</v>
      </c>
      <c r="F29" s="1">
        <v>0.25</v>
      </c>
      <c r="G29" s="1">
        <v>0</v>
      </c>
      <c r="H29" s="1">
        <v>0</v>
      </c>
      <c r="I29" s="1">
        <v>0</v>
      </c>
      <c r="J29" s="1">
        <v>0.125</v>
      </c>
      <c r="K29" s="1">
        <v>4.1700000000000001E-2</v>
      </c>
      <c r="L29" s="1">
        <v>0</v>
      </c>
      <c r="M29" s="1">
        <v>0</v>
      </c>
      <c r="N29" s="1">
        <v>0</v>
      </c>
      <c r="O29" s="1">
        <v>0</v>
      </c>
      <c r="P29" s="1">
        <v>8.3400000000000002E-2</v>
      </c>
      <c r="T29" t="s">
        <v>27</v>
      </c>
      <c r="X29">
        <v>1</v>
      </c>
      <c r="AL29" s="7" t="s">
        <v>27</v>
      </c>
      <c r="AM29" t="str">
        <f t="shared" si="5"/>
        <v>96% 00% 00%</v>
      </c>
      <c r="AN29" t="str">
        <f t="shared" si="4"/>
        <v>88% 08% 00%</v>
      </c>
      <c r="AO29" t="str">
        <f t="shared" si="4"/>
        <v>38% 33% 00%</v>
      </c>
      <c r="AP29" s="5" t="str">
        <f t="shared" si="4"/>
        <v>13% 71% 33%</v>
      </c>
      <c r="AQ29" t="str">
        <f t="shared" si="4"/>
        <v>42% 25% 33%</v>
      </c>
      <c r="AR29" t="str">
        <f t="shared" si="4"/>
        <v>96% 00% 00%</v>
      </c>
      <c r="AS29" t="str">
        <f t="shared" si="4"/>
        <v>88% 00% 00%</v>
      </c>
      <c r="AT29" t="str">
        <f t="shared" si="4"/>
        <v>92% 00% 00%</v>
      </c>
      <c r="AU29" t="str">
        <f t="shared" si="4"/>
        <v>67% 13% 33%</v>
      </c>
      <c r="AV29" t="str">
        <f t="shared" si="4"/>
        <v>71% 04% 33%</v>
      </c>
      <c r="AW29" t="str">
        <f t="shared" si="4"/>
        <v>79% 00% 00%</v>
      </c>
      <c r="AX29" t="str">
        <f t="shared" si="4"/>
        <v>88% 00% 00%</v>
      </c>
      <c r="AY29" t="str">
        <f t="shared" si="4"/>
        <v>79% 00% 00%</v>
      </c>
      <c r="AZ29" t="str">
        <f t="shared" si="4"/>
        <v>75% 00% 00%</v>
      </c>
      <c r="BA29" t="str">
        <f t="shared" si="4"/>
        <v>83% 08% 00%</v>
      </c>
    </row>
    <row r="30" spans="1:53" x14ac:dyDescent="0.35">
      <c r="A30" t="s">
        <v>28</v>
      </c>
      <c r="B30" s="1">
        <v>0</v>
      </c>
      <c r="C30" s="1">
        <v>4.1700000000000001E-2</v>
      </c>
      <c r="D30" s="1">
        <v>0.33329999999999999</v>
      </c>
      <c r="E30" s="1">
        <v>0.70830000000000004</v>
      </c>
      <c r="F30" s="1">
        <v>0.375</v>
      </c>
      <c r="G30" s="1">
        <v>0</v>
      </c>
      <c r="H30" s="1">
        <v>0</v>
      </c>
      <c r="I30" s="1">
        <v>4.1700000000000001E-2</v>
      </c>
      <c r="J30" s="1">
        <v>0</v>
      </c>
      <c r="K30" s="1">
        <v>4.1700000000000001E-2</v>
      </c>
      <c r="L30" s="1">
        <v>0</v>
      </c>
      <c r="M30" s="1">
        <v>0</v>
      </c>
      <c r="N30" s="1">
        <v>0</v>
      </c>
      <c r="O30" s="1">
        <v>4.1700000000000001E-2</v>
      </c>
      <c r="P30" s="1">
        <v>8.3400000000000002E-2</v>
      </c>
      <c r="T30" t="s">
        <v>28</v>
      </c>
      <c r="AF30">
        <v>-1</v>
      </c>
      <c r="AH30">
        <v>-1</v>
      </c>
      <c r="AL30" s="7" t="s">
        <v>28</v>
      </c>
      <c r="AM30" t="str">
        <f t="shared" si="5"/>
        <v>88% 00% 00%</v>
      </c>
      <c r="AN30" t="str">
        <f t="shared" si="4"/>
        <v>96% 04% 00%</v>
      </c>
      <c r="AO30" t="str">
        <f t="shared" si="4"/>
        <v>29% 33% 00%</v>
      </c>
      <c r="AP30" t="str">
        <f t="shared" si="4"/>
        <v>13% 71% 00%</v>
      </c>
      <c r="AQ30" t="str">
        <f t="shared" si="4"/>
        <v>50% 38% 33%</v>
      </c>
      <c r="AR30" t="str">
        <f t="shared" si="4"/>
        <v>92% 00% 00%</v>
      </c>
      <c r="AS30" t="str">
        <f t="shared" si="4"/>
        <v>88% 00% 00%</v>
      </c>
      <c r="AT30" t="str">
        <f t="shared" si="4"/>
        <v>92% 04% 00%</v>
      </c>
      <c r="AU30" t="str">
        <f t="shared" si="4"/>
        <v>83% 00% 33%</v>
      </c>
      <c r="AV30" t="str">
        <f t="shared" si="4"/>
        <v>71% 04% 00%</v>
      </c>
      <c r="AW30" t="str">
        <f t="shared" si="4"/>
        <v>79% 00% 00%</v>
      </c>
      <c r="AX30" s="4" t="str">
        <f t="shared" si="4"/>
        <v>88% 00% 00%</v>
      </c>
      <c r="AY30" t="str">
        <f t="shared" si="4"/>
        <v>79% 00% 00%</v>
      </c>
      <c r="AZ30" s="4" t="str">
        <f t="shared" si="4"/>
        <v>71% 04% 00%</v>
      </c>
      <c r="BA30" t="str">
        <f t="shared" si="4"/>
        <v>83% 08% 00%</v>
      </c>
    </row>
    <row r="31" spans="1:53" x14ac:dyDescent="0.35">
      <c r="A31" t="s">
        <v>29</v>
      </c>
      <c r="B31" s="1">
        <v>0.54159999999999997</v>
      </c>
      <c r="C31" s="1">
        <v>0.66669999999999996</v>
      </c>
      <c r="D31" s="1">
        <v>0.25</v>
      </c>
      <c r="E31" s="1">
        <v>4.1700000000000001E-2</v>
      </c>
      <c r="F31" s="1">
        <v>0</v>
      </c>
      <c r="G31" s="1">
        <v>8.3299999999999999E-2</v>
      </c>
      <c r="H31" s="1">
        <v>0</v>
      </c>
      <c r="I31" s="1">
        <v>0</v>
      </c>
      <c r="J31" s="1">
        <v>4.1700000000000001E-2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4.1700000000000001E-2</v>
      </c>
      <c r="T31" t="s">
        <v>29</v>
      </c>
      <c r="U31">
        <v>1</v>
      </c>
      <c r="Z31">
        <v>-1</v>
      </c>
      <c r="AD31">
        <v>-1</v>
      </c>
      <c r="AF31">
        <v>-1</v>
      </c>
      <c r="AL31" s="7" t="s">
        <v>29</v>
      </c>
      <c r="AM31" s="5" t="str">
        <f t="shared" si="5"/>
        <v>17% 54% 33%</v>
      </c>
      <c r="AN31" t="str">
        <f t="shared" si="4"/>
        <v>04% 67% 100%</v>
      </c>
      <c r="AO31" t="str">
        <f t="shared" si="4"/>
        <v>38% 25% 00%</v>
      </c>
      <c r="AP31" t="str">
        <f t="shared" si="4"/>
        <v>92% 04% 00%</v>
      </c>
      <c r="AQ31" t="str">
        <f t="shared" si="4"/>
        <v>79% 00% 00%</v>
      </c>
      <c r="AR31" s="4" t="str">
        <f t="shared" si="4"/>
        <v>83% 08% 00%</v>
      </c>
      <c r="AS31" t="str">
        <f t="shared" si="4"/>
        <v>83% 00% 00%</v>
      </c>
      <c r="AT31" t="str">
        <f t="shared" si="4"/>
        <v>96% 00% 00%</v>
      </c>
      <c r="AU31" t="str">
        <f t="shared" si="4"/>
        <v>88% 04% 00%</v>
      </c>
      <c r="AV31" s="4" t="str">
        <f t="shared" si="4"/>
        <v>79% 00% 00%</v>
      </c>
      <c r="AW31" t="str">
        <f t="shared" si="4"/>
        <v>83% 00% 00%</v>
      </c>
      <c r="AX31" s="4" t="str">
        <f t="shared" si="4"/>
        <v>83% 00% 00%</v>
      </c>
      <c r="AY31" t="str">
        <f t="shared" si="4"/>
        <v>79% 00% 00%</v>
      </c>
      <c r="AZ31" t="str">
        <f t="shared" si="4"/>
        <v>79% 00% 00%</v>
      </c>
      <c r="BA31" t="str">
        <f t="shared" si="4"/>
        <v>88% 04% 00%</v>
      </c>
    </row>
    <row r="32" spans="1:53" x14ac:dyDescent="0.35">
      <c r="A32" t="s">
        <v>15</v>
      </c>
      <c r="B32" s="1">
        <v>0.625</v>
      </c>
      <c r="C32" s="1">
        <v>0.66659999999999997</v>
      </c>
      <c r="D32" s="1">
        <v>8.3400000000000002E-2</v>
      </c>
      <c r="E32" s="1">
        <v>4.1700000000000001E-2</v>
      </c>
      <c r="F32" s="1">
        <v>0</v>
      </c>
      <c r="G32" s="1">
        <v>0</v>
      </c>
      <c r="H32" s="1">
        <v>4.1700000000000001E-2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4.1700000000000001E-2</v>
      </c>
      <c r="T32" t="s">
        <v>15</v>
      </c>
      <c r="U32">
        <v>1</v>
      </c>
      <c r="V32">
        <v>1</v>
      </c>
      <c r="X32">
        <v>-1</v>
      </c>
      <c r="AA32">
        <v>-1</v>
      </c>
      <c r="AI32">
        <v>-1</v>
      </c>
      <c r="AL32" s="7" t="s">
        <v>15</v>
      </c>
      <c r="AM32" s="5" t="str">
        <f t="shared" si="5"/>
        <v>08% 63% 67%</v>
      </c>
      <c r="AN32" s="5" t="str">
        <f t="shared" si="4"/>
        <v>13% 67% 100%</v>
      </c>
      <c r="AO32" t="str">
        <f t="shared" si="4"/>
        <v>75% 08% 00%</v>
      </c>
      <c r="AP32" s="4" t="str">
        <f t="shared" si="4"/>
        <v>92% 04% 00%</v>
      </c>
      <c r="AQ32" t="str">
        <f t="shared" si="4"/>
        <v>92% 00% 00%</v>
      </c>
      <c r="AR32" t="str">
        <f t="shared" si="4"/>
        <v>83% 00% 00%</v>
      </c>
      <c r="AS32" s="4" t="str">
        <f t="shared" si="4"/>
        <v>88% 04% 00%</v>
      </c>
      <c r="AT32" t="str">
        <f t="shared" si="4"/>
        <v>96% 00% 00%</v>
      </c>
      <c r="AU32" t="str">
        <f t="shared" si="4"/>
        <v>92% 00% 00%</v>
      </c>
      <c r="AV32" t="str">
        <f t="shared" si="4"/>
        <v>79% 00% 00%</v>
      </c>
      <c r="AW32" t="str">
        <f t="shared" si="4"/>
        <v>83% 00% 00%</v>
      </c>
      <c r="AX32" t="str">
        <f t="shared" si="4"/>
        <v>83% 00% 00%</v>
      </c>
      <c r="AY32" t="str">
        <f t="shared" si="4"/>
        <v>79% 00% 00%</v>
      </c>
      <c r="AZ32" t="str">
        <f t="shared" si="4"/>
        <v>79% 00% 00%</v>
      </c>
      <c r="BA32" s="4" t="str">
        <f t="shared" si="4"/>
        <v>88% 04% 00%</v>
      </c>
    </row>
    <row r="33" spans="1:53" x14ac:dyDescent="0.35">
      <c r="A33" t="s">
        <v>30</v>
      </c>
      <c r="B33" s="1">
        <v>0.5</v>
      </c>
      <c r="C33" s="1">
        <v>0.70830000000000004</v>
      </c>
      <c r="D33" s="1">
        <v>0.125</v>
      </c>
      <c r="E33" s="1">
        <v>4.1700000000000001E-2</v>
      </c>
      <c r="F33" s="1">
        <v>0</v>
      </c>
      <c r="G33" s="1">
        <v>0</v>
      </c>
      <c r="H33" s="1">
        <v>4.1700000000000001E-2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4.1700000000000001E-2</v>
      </c>
      <c r="T33" t="s">
        <v>30</v>
      </c>
      <c r="V33">
        <v>1</v>
      </c>
      <c r="X33">
        <v>-1</v>
      </c>
      <c r="AE33">
        <v>-1</v>
      </c>
      <c r="AL33" s="7" t="s">
        <v>30</v>
      </c>
      <c r="AM33" t="str">
        <f t="shared" si="5"/>
        <v>58% 50% 00%</v>
      </c>
      <c r="AN33" s="5" t="str">
        <f t="shared" si="4"/>
        <v>08% 71% 67%</v>
      </c>
      <c r="AO33" t="str">
        <f t="shared" si="4"/>
        <v>71% 13% 00%</v>
      </c>
      <c r="AP33" s="4" t="str">
        <f t="shared" si="4"/>
        <v>92% 04% 00%</v>
      </c>
      <c r="AQ33" t="str">
        <f t="shared" si="4"/>
        <v>92% 00% 00%</v>
      </c>
      <c r="AR33" t="str">
        <f t="shared" si="4"/>
        <v>96% 00% 00%</v>
      </c>
      <c r="AS33" t="str">
        <f t="shared" si="4"/>
        <v>88% 04% 00%</v>
      </c>
      <c r="AT33" t="str">
        <f t="shared" si="4"/>
        <v>96% 00% 00%</v>
      </c>
      <c r="AU33" t="str">
        <f t="shared" si="4"/>
        <v>92% 00% 00%</v>
      </c>
      <c r="AV33" t="str">
        <f t="shared" si="4"/>
        <v>79% 00% 00%</v>
      </c>
      <c r="AW33" s="4" t="str">
        <f t="shared" si="4"/>
        <v>83% 00% 00%</v>
      </c>
      <c r="AX33" t="str">
        <f t="shared" si="4"/>
        <v>83% 00% 00%</v>
      </c>
      <c r="AY33" t="str">
        <f t="shared" si="4"/>
        <v>79% 00% 00%</v>
      </c>
      <c r="AZ33" t="str">
        <f t="shared" si="4"/>
        <v>79% 00% 00%</v>
      </c>
      <c r="BA33" t="str">
        <f t="shared" si="4"/>
        <v>88% 04% 00%</v>
      </c>
    </row>
    <row r="34" spans="1:53" x14ac:dyDescent="0.35">
      <c r="A34" t="s">
        <v>31</v>
      </c>
      <c r="B34" s="1">
        <v>0.33329999999999999</v>
      </c>
      <c r="C34" s="1">
        <v>0.58330000000000004</v>
      </c>
      <c r="D34" s="1">
        <v>0.45829999999999999</v>
      </c>
      <c r="E34" s="1">
        <v>0.25</v>
      </c>
      <c r="F34" s="1">
        <v>0.33329999999999999</v>
      </c>
      <c r="G34" s="1">
        <v>0.625</v>
      </c>
      <c r="H34" s="1">
        <v>0.45829999999999999</v>
      </c>
      <c r="I34" s="1">
        <v>0.33339999999999997</v>
      </c>
      <c r="J34" s="1">
        <v>4.1700000000000001E-2</v>
      </c>
      <c r="K34" s="1">
        <v>4.1700000000000001E-2</v>
      </c>
      <c r="L34" s="1">
        <v>0</v>
      </c>
      <c r="M34" s="1">
        <v>4.1700000000000001E-2</v>
      </c>
      <c r="N34" s="1">
        <v>0</v>
      </c>
      <c r="O34" s="1">
        <v>8.3299999999999999E-2</v>
      </c>
      <c r="P34" s="1">
        <v>4.1700000000000001E-2</v>
      </c>
      <c r="T34" t="s">
        <v>31</v>
      </c>
      <c r="AF34">
        <v>-1</v>
      </c>
      <c r="AL34" s="7" t="s">
        <v>31</v>
      </c>
      <c r="AM34" t="str">
        <f t="shared" si="5"/>
        <v>50% 33% 00%</v>
      </c>
      <c r="AN34" t="str">
        <f t="shared" si="4"/>
        <v>17% 58% 33%</v>
      </c>
      <c r="AO34" t="str">
        <f t="shared" si="4"/>
        <v>21% 46% 00%</v>
      </c>
      <c r="AP34" t="str">
        <f t="shared" si="4"/>
        <v>63% 25% 00%</v>
      </c>
      <c r="AQ34" t="str">
        <f t="shared" si="4"/>
        <v>46% 33% 00%</v>
      </c>
      <c r="AR34" t="str">
        <f t="shared" si="4"/>
        <v>21% 63% 00%</v>
      </c>
      <c r="AS34" t="str">
        <f t="shared" si="4"/>
        <v>38% 46% 00%</v>
      </c>
      <c r="AT34" t="str">
        <f t="shared" si="4"/>
        <v>54% 33% 00%</v>
      </c>
      <c r="AU34" t="str">
        <f t="shared" si="4"/>
        <v>83% 04% 00%</v>
      </c>
      <c r="AV34" t="str">
        <f t="shared" si="4"/>
        <v>71% 04% 00%</v>
      </c>
      <c r="AW34" t="str">
        <f t="shared" si="4"/>
        <v>79% 00% 00%</v>
      </c>
      <c r="AX34" s="4" t="str">
        <f t="shared" si="4"/>
        <v>83% 04% 00%</v>
      </c>
      <c r="AY34" t="str">
        <f t="shared" si="4"/>
        <v>79% 00% 00%</v>
      </c>
      <c r="AZ34" t="str">
        <f t="shared" si="4"/>
        <v>71% 08% 00%</v>
      </c>
      <c r="BA34" t="str">
        <f t="shared" si="4"/>
        <v>79% 04% 00%</v>
      </c>
    </row>
    <row r="37" spans="1:53" x14ac:dyDescent="0.35">
      <c r="A37" t="s">
        <v>35</v>
      </c>
      <c r="T37" s="2" t="s">
        <v>33</v>
      </c>
    </row>
    <row r="38" spans="1:53" x14ac:dyDescent="0.35">
      <c r="B38" t="s">
        <v>0</v>
      </c>
      <c r="C38" t="s">
        <v>1</v>
      </c>
      <c r="D38" t="s">
        <v>2</v>
      </c>
      <c r="E38" t="s">
        <v>3</v>
      </c>
      <c r="F38" t="s">
        <v>4</v>
      </c>
      <c r="G38" t="s">
        <v>5</v>
      </c>
      <c r="H38" t="s">
        <v>20</v>
      </c>
      <c r="I38" t="s">
        <v>6</v>
      </c>
      <c r="J38" t="s">
        <v>7</v>
      </c>
      <c r="K38" t="s">
        <v>8</v>
      </c>
      <c r="L38" t="s">
        <v>9</v>
      </c>
      <c r="M38" t="s">
        <v>10</v>
      </c>
      <c r="N38" t="s">
        <v>11</v>
      </c>
      <c r="O38" t="s">
        <v>12</v>
      </c>
      <c r="P38" t="s">
        <v>13</v>
      </c>
      <c r="U38" t="s">
        <v>0</v>
      </c>
      <c r="V38" t="s">
        <v>1</v>
      </c>
      <c r="W38" t="s">
        <v>2</v>
      </c>
      <c r="X38" t="s">
        <v>3</v>
      </c>
      <c r="Y38" t="s">
        <v>4</v>
      </c>
      <c r="Z38" t="s">
        <v>5</v>
      </c>
      <c r="AA38" t="s">
        <v>20</v>
      </c>
      <c r="AB38" t="s">
        <v>6</v>
      </c>
      <c r="AC38" t="s">
        <v>7</v>
      </c>
      <c r="AD38" t="s">
        <v>8</v>
      </c>
      <c r="AE38" t="s">
        <v>9</v>
      </c>
      <c r="AF38" t="s">
        <v>10</v>
      </c>
      <c r="AG38" t="s">
        <v>11</v>
      </c>
      <c r="AH38" t="s">
        <v>12</v>
      </c>
      <c r="AI38" t="s">
        <v>13</v>
      </c>
    </row>
    <row r="39" spans="1:53" x14ac:dyDescent="0.35">
      <c r="A39" t="s">
        <v>21</v>
      </c>
      <c r="B39" s="1">
        <v>0.66669999999999996</v>
      </c>
      <c r="C39" s="1">
        <v>0.33329999999999999</v>
      </c>
      <c r="D39" s="1">
        <v>1</v>
      </c>
      <c r="E39" s="1">
        <v>0.33329999999999999</v>
      </c>
      <c r="F39" s="1">
        <v>0.66669999999999996</v>
      </c>
      <c r="G39" s="1">
        <v>0.33329999999999999</v>
      </c>
      <c r="H39" s="1">
        <v>0.33329999999999999</v>
      </c>
      <c r="I39" s="1">
        <v>0.66669999999999996</v>
      </c>
      <c r="J39" s="1">
        <v>1</v>
      </c>
      <c r="K39" s="1">
        <v>0.66669999999999996</v>
      </c>
      <c r="L39" s="1">
        <v>0.66669999999999996</v>
      </c>
      <c r="M39" s="1">
        <v>0.33329999999999999</v>
      </c>
      <c r="N39" s="1">
        <v>0</v>
      </c>
      <c r="O39" s="1">
        <v>0.33329999999999999</v>
      </c>
      <c r="P39" s="1">
        <v>0.33329999999999999</v>
      </c>
      <c r="T39" t="s">
        <v>21</v>
      </c>
      <c r="U39">
        <v>1</v>
      </c>
      <c r="V39">
        <v>0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-1</v>
      </c>
      <c r="AI39">
        <v>1</v>
      </c>
    </row>
    <row r="40" spans="1:53" x14ac:dyDescent="0.35">
      <c r="A40" t="s">
        <v>22</v>
      </c>
      <c r="B40" s="1">
        <v>0</v>
      </c>
      <c r="C40" s="1">
        <v>0</v>
      </c>
      <c r="D40" s="1">
        <v>0.33329999999999999</v>
      </c>
      <c r="E40" s="1">
        <v>0</v>
      </c>
      <c r="F40" s="1">
        <v>0</v>
      </c>
      <c r="G40" s="1">
        <v>0</v>
      </c>
      <c r="H40" s="1">
        <v>0</v>
      </c>
      <c r="I40" s="1">
        <v>1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T40" t="s">
        <v>22</v>
      </c>
      <c r="U40">
        <v>-1</v>
      </c>
      <c r="V40">
        <v>-1</v>
      </c>
      <c r="W40">
        <v>1</v>
      </c>
      <c r="X40">
        <v>1</v>
      </c>
      <c r="Y40">
        <v>-1</v>
      </c>
      <c r="Z40">
        <v>-1</v>
      </c>
      <c r="AA40">
        <v>-1</v>
      </c>
      <c r="AB40">
        <v>1</v>
      </c>
      <c r="AC40">
        <v>-1</v>
      </c>
      <c r="AD40">
        <v>-1</v>
      </c>
      <c r="AE40">
        <v>-1</v>
      </c>
      <c r="AF40">
        <v>-1</v>
      </c>
      <c r="AG40">
        <v>-1</v>
      </c>
      <c r="AH40">
        <v>-1</v>
      </c>
      <c r="AI40">
        <v>-1</v>
      </c>
    </row>
    <row r="41" spans="1:53" x14ac:dyDescent="0.35">
      <c r="A41" t="s">
        <v>23</v>
      </c>
      <c r="B41" s="1">
        <v>0</v>
      </c>
      <c r="C41" s="1">
        <v>0</v>
      </c>
      <c r="D41" s="1">
        <v>0.33329999999999999</v>
      </c>
      <c r="E41" s="1">
        <v>0</v>
      </c>
      <c r="F41" s="1">
        <v>0.33329999999999999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T41" t="s">
        <v>23</v>
      </c>
      <c r="U41">
        <v>-1</v>
      </c>
      <c r="V41">
        <v>-1</v>
      </c>
      <c r="W41">
        <v>1</v>
      </c>
      <c r="X41">
        <v>-1</v>
      </c>
      <c r="Y41">
        <v>-1</v>
      </c>
      <c r="Z41">
        <v>-1</v>
      </c>
      <c r="AA41">
        <v>-1</v>
      </c>
      <c r="AB41">
        <v>-1</v>
      </c>
      <c r="AC41">
        <v>-1</v>
      </c>
      <c r="AD41">
        <v>-1</v>
      </c>
      <c r="AE41">
        <v>-1</v>
      </c>
      <c r="AF41">
        <v>-1</v>
      </c>
      <c r="AG41">
        <v>-1</v>
      </c>
      <c r="AH41">
        <v>-1</v>
      </c>
      <c r="AI41">
        <v>-1</v>
      </c>
    </row>
    <row r="42" spans="1:53" x14ac:dyDescent="0.35">
      <c r="A42" t="s">
        <v>24</v>
      </c>
      <c r="B42" s="1">
        <v>0</v>
      </c>
      <c r="C42" s="1">
        <v>0</v>
      </c>
      <c r="D42" s="1">
        <v>0.33329999999999999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T42" t="s">
        <v>24</v>
      </c>
      <c r="U42">
        <v>-1</v>
      </c>
      <c r="V42">
        <v>-1</v>
      </c>
      <c r="W42">
        <v>1</v>
      </c>
      <c r="X42">
        <v>-1</v>
      </c>
      <c r="Y42">
        <v>-1</v>
      </c>
      <c r="Z42">
        <v>-1</v>
      </c>
      <c r="AA42">
        <v>-1</v>
      </c>
      <c r="AB42">
        <v>-1</v>
      </c>
      <c r="AC42">
        <v>0</v>
      </c>
      <c r="AD42">
        <v>0</v>
      </c>
      <c r="AE42">
        <v>-1</v>
      </c>
      <c r="AF42">
        <v>-1</v>
      </c>
      <c r="AG42">
        <v>-1</v>
      </c>
      <c r="AH42">
        <v>-1</v>
      </c>
      <c r="AI42">
        <v>-1</v>
      </c>
    </row>
    <row r="43" spans="1:53" x14ac:dyDescent="0.35">
      <c r="A43" t="s">
        <v>16</v>
      </c>
      <c r="B43" s="1">
        <v>0</v>
      </c>
      <c r="C43" s="1">
        <v>0</v>
      </c>
      <c r="D43" s="1">
        <v>0.33329999999999999</v>
      </c>
      <c r="E43" s="1">
        <v>0</v>
      </c>
      <c r="F43" s="1">
        <v>0.33329999999999999</v>
      </c>
      <c r="G43" s="1">
        <v>0.33329999999999999</v>
      </c>
      <c r="H43" s="1">
        <v>0.33329999999999999</v>
      </c>
      <c r="I43" s="1">
        <v>0.33329999999999999</v>
      </c>
      <c r="J43" s="1">
        <v>0.33329999999999999</v>
      </c>
      <c r="K43" s="1">
        <v>0.33329999999999999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T43" t="s">
        <v>16</v>
      </c>
      <c r="U43">
        <v>-1</v>
      </c>
      <c r="V43">
        <v>-1</v>
      </c>
      <c r="W43">
        <v>1</v>
      </c>
      <c r="X43">
        <v>0</v>
      </c>
      <c r="Y43">
        <v>1</v>
      </c>
      <c r="Z43">
        <v>1</v>
      </c>
      <c r="AA43">
        <v>1</v>
      </c>
      <c r="AB43">
        <v>0</v>
      </c>
      <c r="AC43">
        <v>-1</v>
      </c>
      <c r="AD43">
        <v>-1</v>
      </c>
      <c r="AE43">
        <v>-1</v>
      </c>
      <c r="AF43">
        <v>-1</v>
      </c>
      <c r="AG43">
        <v>-1</v>
      </c>
      <c r="AH43">
        <v>-1</v>
      </c>
      <c r="AI43">
        <v>-1</v>
      </c>
    </row>
    <row r="44" spans="1:53" x14ac:dyDescent="0.35">
      <c r="A44" t="s">
        <v>25</v>
      </c>
      <c r="B44" s="1">
        <v>0.33329999999999999</v>
      </c>
      <c r="C44" s="1">
        <v>0.33329999999999999</v>
      </c>
      <c r="D44" s="1">
        <v>0</v>
      </c>
      <c r="E44" s="1">
        <v>0</v>
      </c>
      <c r="F44" s="1">
        <v>0.33329999999999999</v>
      </c>
      <c r="G44" s="1">
        <v>0.33329999999999999</v>
      </c>
      <c r="H44" s="1">
        <v>0.33329999999999999</v>
      </c>
      <c r="I44" s="1">
        <v>0.33329999999999999</v>
      </c>
      <c r="J44" s="1">
        <v>1</v>
      </c>
      <c r="K44" s="1">
        <v>0.66669999999999996</v>
      </c>
      <c r="L44" s="1">
        <v>0.33329999999999999</v>
      </c>
      <c r="M44" s="1">
        <v>0.33329999999999999</v>
      </c>
      <c r="N44" s="1">
        <v>0</v>
      </c>
      <c r="O44" s="1">
        <v>0.33329999999999999</v>
      </c>
      <c r="P44" s="1">
        <v>0.66669999999999996</v>
      </c>
      <c r="T44" t="s">
        <v>25</v>
      </c>
      <c r="U44">
        <v>-1</v>
      </c>
      <c r="V44">
        <v>-1</v>
      </c>
      <c r="W44">
        <v>0</v>
      </c>
      <c r="X44">
        <v>-1</v>
      </c>
      <c r="Y44">
        <v>-1</v>
      </c>
      <c r="Z44">
        <v>-1</v>
      </c>
      <c r="AA44">
        <v>-1</v>
      </c>
      <c r="AB44">
        <v>-1</v>
      </c>
      <c r="AC44">
        <v>1</v>
      </c>
      <c r="AD44">
        <v>-1</v>
      </c>
      <c r="AE44">
        <v>-1</v>
      </c>
      <c r="AF44">
        <v>-1</v>
      </c>
      <c r="AG44">
        <v>-1</v>
      </c>
      <c r="AH44">
        <v>-1</v>
      </c>
      <c r="AI44">
        <v>1</v>
      </c>
    </row>
    <row r="45" spans="1:53" x14ac:dyDescent="0.35">
      <c r="A45" t="s">
        <v>26</v>
      </c>
      <c r="B45" s="1">
        <v>0</v>
      </c>
      <c r="C45" s="1">
        <v>0</v>
      </c>
      <c r="D45" s="1">
        <v>0</v>
      </c>
      <c r="E45" s="1">
        <v>0</v>
      </c>
      <c r="F45" s="1">
        <v>0.66669999999999996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T45" t="s">
        <v>26</v>
      </c>
      <c r="U45">
        <v>-1</v>
      </c>
      <c r="V45">
        <v>-1</v>
      </c>
      <c r="W45">
        <v>0</v>
      </c>
      <c r="X45">
        <v>1</v>
      </c>
      <c r="Y45">
        <v>1</v>
      </c>
      <c r="Z45">
        <v>-1</v>
      </c>
      <c r="AA45">
        <v>-1</v>
      </c>
      <c r="AB45">
        <v>-1</v>
      </c>
      <c r="AC45">
        <v>-1</v>
      </c>
      <c r="AD45">
        <v>-1</v>
      </c>
      <c r="AE45">
        <v>-1</v>
      </c>
      <c r="AF45">
        <v>-1</v>
      </c>
      <c r="AG45">
        <v>-1</v>
      </c>
      <c r="AH45">
        <v>-1</v>
      </c>
      <c r="AI45">
        <v>-1</v>
      </c>
    </row>
    <row r="46" spans="1:53" x14ac:dyDescent="0.35">
      <c r="A46" t="s">
        <v>14</v>
      </c>
      <c r="B46" s="1">
        <v>0</v>
      </c>
      <c r="C46" s="1">
        <v>0</v>
      </c>
      <c r="D46" s="1">
        <v>0</v>
      </c>
      <c r="E46" s="1">
        <v>0.33329999999999999</v>
      </c>
      <c r="F46" s="1">
        <v>0.66669999999999996</v>
      </c>
      <c r="G46" s="1">
        <v>0</v>
      </c>
      <c r="H46" s="1">
        <v>0</v>
      </c>
      <c r="I46" s="1">
        <v>0</v>
      </c>
      <c r="J46" s="1">
        <v>0.33329999999999999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T46" t="s">
        <v>14</v>
      </c>
      <c r="U46">
        <v>-1</v>
      </c>
      <c r="V46">
        <v>-1</v>
      </c>
      <c r="W46">
        <v>0</v>
      </c>
      <c r="X46">
        <v>1</v>
      </c>
      <c r="Y46">
        <v>1</v>
      </c>
      <c r="Z46">
        <v>-1</v>
      </c>
      <c r="AA46">
        <v>-1</v>
      </c>
      <c r="AB46">
        <v>-1</v>
      </c>
      <c r="AC46">
        <v>-1</v>
      </c>
      <c r="AD46">
        <v>-1</v>
      </c>
      <c r="AE46">
        <v>-1</v>
      </c>
      <c r="AF46">
        <v>-1</v>
      </c>
      <c r="AG46">
        <v>-1</v>
      </c>
      <c r="AH46">
        <v>-1</v>
      </c>
      <c r="AI46">
        <v>-1</v>
      </c>
    </row>
    <row r="47" spans="1:53" x14ac:dyDescent="0.35">
      <c r="A47" t="s">
        <v>27</v>
      </c>
      <c r="B47" s="1">
        <v>0</v>
      </c>
      <c r="C47" s="1">
        <v>0</v>
      </c>
      <c r="D47" s="1">
        <v>0</v>
      </c>
      <c r="E47" s="1">
        <v>0.33329999999999999</v>
      </c>
      <c r="F47" s="1">
        <v>0.33329999999999999</v>
      </c>
      <c r="G47" s="1">
        <v>0</v>
      </c>
      <c r="H47" s="1">
        <v>0</v>
      </c>
      <c r="I47" s="1">
        <v>0</v>
      </c>
      <c r="J47" s="1">
        <v>0.33329999999999999</v>
      </c>
      <c r="K47" s="1">
        <v>0.33329999999999999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T47" t="s">
        <v>27</v>
      </c>
      <c r="U47">
        <v>-1</v>
      </c>
      <c r="V47">
        <v>-1</v>
      </c>
      <c r="W47">
        <v>1</v>
      </c>
      <c r="X47">
        <v>1</v>
      </c>
      <c r="Y47">
        <v>0</v>
      </c>
      <c r="Z47">
        <v>-1</v>
      </c>
      <c r="AA47">
        <v>-1</v>
      </c>
      <c r="AB47">
        <v>-1</v>
      </c>
      <c r="AC47">
        <v>0</v>
      </c>
      <c r="AD47">
        <v>0</v>
      </c>
      <c r="AE47">
        <v>-1</v>
      </c>
      <c r="AF47">
        <v>-1</v>
      </c>
      <c r="AG47">
        <v>-1</v>
      </c>
      <c r="AH47">
        <v>-1</v>
      </c>
      <c r="AI47">
        <v>-1</v>
      </c>
    </row>
    <row r="48" spans="1:53" x14ac:dyDescent="0.35">
      <c r="A48" t="s">
        <v>28</v>
      </c>
      <c r="B48" s="1">
        <v>0</v>
      </c>
      <c r="C48" s="1">
        <v>0</v>
      </c>
      <c r="D48" s="1">
        <v>0</v>
      </c>
      <c r="E48" s="1">
        <v>0</v>
      </c>
      <c r="F48" s="1">
        <v>0.33329999999999999</v>
      </c>
      <c r="G48" s="1">
        <v>0</v>
      </c>
      <c r="H48" s="1">
        <v>0</v>
      </c>
      <c r="I48" s="1">
        <v>0</v>
      </c>
      <c r="J48" s="1">
        <v>0.33329999999999999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T48" t="s">
        <v>28</v>
      </c>
      <c r="U48">
        <v>-1</v>
      </c>
      <c r="V48">
        <v>-1</v>
      </c>
      <c r="W48">
        <v>1</v>
      </c>
      <c r="X48">
        <v>1</v>
      </c>
      <c r="Y48">
        <v>0</v>
      </c>
      <c r="Z48">
        <v>-1</v>
      </c>
      <c r="AA48">
        <v>-1</v>
      </c>
      <c r="AB48">
        <v>-1</v>
      </c>
      <c r="AC48">
        <v>-1</v>
      </c>
      <c r="AD48">
        <v>-1</v>
      </c>
      <c r="AE48">
        <v>-1</v>
      </c>
      <c r="AF48">
        <v>-1</v>
      </c>
      <c r="AG48">
        <v>-1</v>
      </c>
      <c r="AH48">
        <v>-1</v>
      </c>
      <c r="AI48">
        <v>-1</v>
      </c>
    </row>
    <row r="49" spans="1:35" x14ac:dyDescent="0.35">
      <c r="A49" t="s">
        <v>29</v>
      </c>
      <c r="B49" s="1">
        <v>0.33329999999999999</v>
      </c>
      <c r="C49" s="1">
        <v>1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T49" t="s">
        <v>29</v>
      </c>
      <c r="U49">
        <v>1</v>
      </c>
      <c r="V49">
        <v>1</v>
      </c>
      <c r="W49">
        <v>1</v>
      </c>
      <c r="X49">
        <v>-1</v>
      </c>
      <c r="Y49">
        <v>-1</v>
      </c>
      <c r="Z49">
        <v>-1</v>
      </c>
      <c r="AA49">
        <v>-1</v>
      </c>
      <c r="AB49">
        <v>-1</v>
      </c>
      <c r="AC49">
        <v>-1</v>
      </c>
      <c r="AD49">
        <v>-1</v>
      </c>
      <c r="AE49">
        <v>-1</v>
      </c>
      <c r="AF49">
        <v>-1</v>
      </c>
      <c r="AG49">
        <v>-1</v>
      </c>
      <c r="AH49">
        <v>-1</v>
      </c>
      <c r="AI49">
        <v>-1</v>
      </c>
    </row>
    <row r="50" spans="1:35" x14ac:dyDescent="0.35">
      <c r="A50" t="s">
        <v>15</v>
      </c>
      <c r="B50" s="1">
        <v>0.66669999999999996</v>
      </c>
      <c r="C50" s="1">
        <v>1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T50" t="s">
        <v>15</v>
      </c>
      <c r="U50">
        <v>1</v>
      </c>
      <c r="V50">
        <v>1</v>
      </c>
      <c r="W50">
        <v>-1</v>
      </c>
      <c r="X50">
        <v>-1</v>
      </c>
      <c r="Y50">
        <v>-1</v>
      </c>
      <c r="Z50">
        <v>-1</v>
      </c>
      <c r="AA50">
        <v>-1</v>
      </c>
      <c r="AB50">
        <v>-1</v>
      </c>
      <c r="AC50">
        <v>-1</v>
      </c>
      <c r="AD50">
        <v>-1</v>
      </c>
      <c r="AE50">
        <v>-1</v>
      </c>
      <c r="AF50">
        <v>-1</v>
      </c>
      <c r="AG50">
        <v>-1</v>
      </c>
      <c r="AH50">
        <v>-1</v>
      </c>
      <c r="AI50">
        <v>-1</v>
      </c>
    </row>
    <row r="51" spans="1:35" x14ac:dyDescent="0.35">
      <c r="A51" t="s">
        <v>30</v>
      </c>
      <c r="B51" s="1">
        <v>0</v>
      </c>
      <c r="C51" s="1">
        <v>0.66669999999999996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T51" t="s">
        <v>30</v>
      </c>
      <c r="U51">
        <v>0</v>
      </c>
      <c r="V51">
        <v>1</v>
      </c>
      <c r="W51">
        <v>-1</v>
      </c>
      <c r="X51">
        <v>-1</v>
      </c>
      <c r="Y51">
        <v>-1</v>
      </c>
      <c r="Z51">
        <v>-1</v>
      </c>
      <c r="AA51">
        <v>-1</v>
      </c>
      <c r="AB51">
        <v>-1</v>
      </c>
      <c r="AC51">
        <v>-1</v>
      </c>
      <c r="AD51">
        <v>-1</v>
      </c>
      <c r="AE51">
        <v>-1</v>
      </c>
      <c r="AF51">
        <v>-1</v>
      </c>
      <c r="AG51">
        <v>-1</v>
      </c>
      <c r="AH51">
        <v>-1</v>
      </c>
      <c r="AI51">
        <v>-1</v>
      </c>
    </row>
    <row r="52" spans="1:35" x14ac:dyDescent="0.35">
      <c r="A52" t="s">
        <v>31</v>
      </c>
      <c r="B52" s="1">
        <v>0</v>
      </c>
      <c r="C52" s="1">
        <v>0.33329999999999999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T52" t="s">
        <v>31</v>
      </c>
      <c r="U52">
        <v>0</v>
      </c>
      <c r="V52">
        <v>1</v>
      </c>
      <c r="W52">
        <v>1</v>
      </c>
      <c r="X52">
        <v>0</v>
      </c>
      <c r="Y52">
        <v>1</v>
      </c>
      <c r="Z52">
        <v>1</v>
      </c>
      <c r="AA52">
        <v>1</v>
      </c>
      <c r="AB52">
        <v>1</v>
      </c>
      <c r="AC52">
        <v>-1</v>
      </c>
      <c r="AD52">
        <v>0</v>
      </c>
      <c r="AE52">
        <v>-1</v>
      </c>
      <c r="AF52">
        <v>-1</v>
      </c>
      <c r="AG52">
        <v>-1</v>
      </c>
      <c r="AH52">
        <v>-1</v>
      </c>
      <c r="AI52">
        <v>-1</v>
      </c>
    </row>
  </sheetData>
  <conditionalFormatting sqref="B21:P34">
    <cfRule type="cellIs" dxfId="0" priority="14" operator="greaterThan">
      <formula>0.4</formula>
    </cfRule>
    <cfRule type="cellIs" dxfId="1" priority="1" operator="between">
      <formula>5%</formula>
      <formula>0.1</formula>
    </cfRule>
  </conditionalFormatting>
  <conditionalFormatting sqref="B39:P52">
    <cfRule type="cellIs" dxfId="32" priority="3" operator="equal">
      <formula>0.3333</formula>
    </cfRule>
    <cfRule type="cellIs" dxfId="31" priority="4" operator="greaterThan">
      <formula>0.6</formula>
    </cfRule>
  </conditionalFormatting>
  <conditionalFormatting sqref="U3:AI16">
    <cfRule type="cellIs" dxfId="30" priority="15" operator="equal">
      <formula>1</formula>
    </cfRule>
    <cfRule type="cellIs" dxfId="29" priority="16" operator="equal">
      <formula>0</formula>
    </cfRule>
    <cfRule type="cellIs" dxfId="28" priority="17" operator="equal">
      <formula>-1</formula>
    </cfRule>
  </conditionalFormatting>
  <conditionalFormatting sqref="U21:AI34">
    <cfRule type="cellIs" dxfId="27" priority="11" operator="equal">
      <formula>1</formula>
    </cfRule>
    <cfRule type="cellIs" dxfId="26" priority="12" operator="equal">
      <formula>0</formula>
    </cfRule>
    <cfRule type="cellIs" dxfId="25" priority="13" operator="equal">
      <formula>-1</formula>
    </cfRule>
  </conditionalFormatting>
  <conditionalFormatting sqref="U39:AI52">
    <cfRule type="cellIs" dxfId="24" priority="8" operator="equal">
      <formula>1</formula>
    </cfRule>
    <cfRule type="cellIs" dxfId="23" priority="9" operator="equal">
      <formula>0</formula>
    </cfRule>
    <cfRule type="cellIs" dxfId="22" priority="10" operator="equal">
      <formula>-1</formula>
    </cfRule>
  </conditionalFormatting>
  <conditionalFormatting sqref="AM21:AM34">
    <cfRule type="cellIs" dxfId="21" priority="2" operator="equal">
      <formula>$U$21=1</formula>
    </cfRule>
  </conditionalFormatting>
  <conditionalFormatting sqref="AM3:BA16">
    <cfRule type="cellIs" dxfId="20" priority="5" operator="equal">
      <formula>"O"</formula>
    </cfRule>
    <cfRule type="cellIs" dxfId="19" priority="6" operator="equal">
      <formula>"U"</formula>
    </cfRule>
    <cfRule type="cellIs" dxfId="18" priority="7" operator="equal">
      <formula>"S"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expert_combined_never_credentia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Sheila Zingg</dc:creator>
  <cp:lastModifiedBy>Zingg  Sheila</cp:lastModifiedBy>
  <dcterms:created xsi:type="dcterms:W3CDTF">2026-01-20T18:38:29Z</dcterms:created>
  <dcterms:modified xsi:type="dcterms:W3CDTF">2026-02-01T17:43:57Z</dcterms:modified>
</cp:coreProperties>
</file>